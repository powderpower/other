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hidePivotFieldList="1" defaultThemeVersion="124226"/>
  <bookViews>
    <workbookView xWindow="120" yWindow="75" windowWidth="21075" windowHeight="12330" activeTab="1"/>
  </bookViews>
  <sheets>
    <sheet name="Диалог" sheetId="1" r:id="rId1"/>
    <sheet name="Секция" sheetId="5" r:id="rId2"/>
    <sheet name="control" sheetId="4" r:id="rId3"/>
  </sheets>
  <functionGroups builtInGroupCount="17"/>
  <definedNames>
    <definedName name="al_tube">control!$A$45:$F$48</definedName>
    <definedName name="box_back">Секция!$A$22:$L$36</definedName>
    <definedName name="box_back_1">Секция!$A$22:$L$26</definedName>
    <definedName name="box_back_2">Секция!$A$27:$L$31</definedName>
    <definedName name="box_back_3">Секция!$A$32:$L$36</definedName>
    <definedName name="box_back_dp">Диалог!$B$23:$M$25</definedName>
    <definedName name="box_back_dp_1">Диалог!$B$23:$M$23</definedName>
    <definedName name="box_back_dp_2">Диалог!$B$24:$M$24</definedName>
    <definedName name="box_back_dp_3">Диалог!$B$25:$M$25</definedName>
    <definedName name="box_front">Секция!$A$7:$L$21</definedName>
    <definedName name="box_front_1">Секция!$A$7:$L$11</definedName>
    <definedName name="box_front_2">Секция!$A$12:$L$16</definedName>
    <definedName name="box_front_3">Секция!$A$17:$L$21</definedName>
    <definedName name="box_front_dp">Диалог!$B$19:$M$21</definedName>
    <definedName name="box_front_dp_1">Диалог!$B$19:$M$19</definedName>
    <definedName name="box_front_dp_2">Диалог!$B$20:$M$20</definedName>
    <definedName name="box_front_dp_3">Диалог!$B$21:$M$21</definedName>
    <definedName name="box_opt_dp_1">Диалог!$A$15:$P$15</definedName>
    <definedName name="box_opt_dp_2">Диалог!$A$17:$P$17</definedName>
    <definedName name="box_prob_dp_1">Диалог!$A$14:$P$14</definedName>
    <definedName name="box_prob_dp_2">Диалог!$A$16:$P$16</definedName>
    <definedName name="box_prob_dp_3">Диалог!$A$18:$P$18</definedName>
    <definedName name="box_prob_dp_4">Диалог!$A$22:$P$22</definedName>
    <definedName name="collector">Секция!$A$37:$L$41</definedName>
    <definedName name="collector_dop_a">Секция!$A$92:$L$92</definedName>
    <definedName name="collector_dp">Диалог!$B$31:$M$31</definedName>
    <definedName name="collector_prob_dp">Диалог!$B$30:$M$30</definedName>
    <definedName name="date">Диалог!$G$69</definedName>
    <definedName name="fin">control!$A$51:$D$59</definedName>
    <definedName name="fl_2">Секция!$A$43:$L$43</definedName>
    <definedName name="fl_3">Секция!$A$44:$L$44</definedName>
    <definedName name="fl_4">Секция!$A$60:$L$61</definedName>
    <definedName name="fl_5">Секция!$A$62:$L$63</definedName>
    <definedName name="fl_6">Секция!$A$68:$A$71</definedName>
    <definedName name="fl_7">Секция!$A$72:$A$75</definedName>
    <definedName name="fl_dp_1">Диалог!$A$42:$P$42</definedName>
    <definedName name="fl_dp_2">Диалог!$A$44:$P$44</definedName>
    <definedName name="fl_dp_3">Диалог!$A$46:$P$46</definedName>
    <definedName name="fl_dp_4">Диалог!$H$42</definedName>
    <definedName name="fl_dp_5">Диалог!$H$44</definedName>
    <definedName name="fl_dp_6">Диалог!$H$46</definedName>
    <definedName name="fl_dp_prob_1">Диалог!$A$43:$P$43</definedName>
    <definedName name="fl_dp_prob_2">Диалог!$A$45:$P$45</definedName>
    <definedName name="fl_m_100">control!$A$92:$E$100</definedName>
    <definedName name="fl_m_125">control!$A$102:$E$110</definedName>
    <definedName name="fl_m_150">control!$A$112:$E$120</definedName>
    <definedName name="fl_m_200">control!$A$122:$E$130</definedName>
    <definedName name="fl_m_25">control!$A$62:$E$70</definedName>
    <definedName name="fl_m_250">control!$A$132:$E$140</definedName>
    <definedName name="fl_m_300">control!$A$142:$E$149</definedName>
    <definedName name="fl_m_350">control!$A$151:$E$157</definedName>
    <definedName name="fl_m_50">control!$A$72:$E$80</definedName>
    <definedName name="fl_m_80">control!$A$82:$E$90</definedName>
    <definedName name="kalach">control!$R$57:$S$60</definedName>
    <definedName name="mat">control!$A$21:$C$29</definedName>
    <definedName name="mat_2">control!$A$33:$H$42</definedName>
    <definedName name="metiz_mat">control!$F$15:$G$20</definedName>
    <definedName name="patrubok">control!$I$18:$K$27</definedName>
    <definedName name="tube_type_a">Секция!$A$45:$L$52</definedName>
    <definedName name="tube_type_b">Секция!$A$53:$L$55</definedName>
    <definedName name="zip_metiz_a">Диалог!$G$65</definedName>
    <definedName name="zip_metiz_b">Диалог!$H$65</definedName>
    <definedName name="zip_pr_fl_a">Диалог!$D$65</definedName>
    <definedName name="zip_pr_fl_b">Диалог!$E$65</definedName>
    <definedName name="zip_pr_probki_a">Диалог!$D$63</definedName>
    <definedName name="zip_pr_probki_b">Диалог!$E$63</definedName>
    <definedName name="zip_probki_a">Диалог!$G$63</definedName>
    <definedName name="zip_probki_b">Диалог!$H$63</definedName>
  </definedNames>
  <calcPr calcId="145621"/>
</workbook>
</file>

<file path=xl/calcChain.xml><?xml version="1.0" encoding="utf-8"?>
<calcChain xmlns="http://schemas.openxmlformats.org/spreadsheetml/2006/main">
  <c r="N44" i="4" l="1"/>
  <c r="H46" i="1" l="1"/>
  <c r="H44" i="1"/>
  <c r="H42" i="1"/>
  <c r="D48" i="1"/>
  <c r="B42" i="1"/>
  <c r="R68" i="4"/>
  <c r="N23" i="4" l="1"/>
  <c r="M34" i="4"/>
  <c r="A64" i="5"/>
  <c r="P57" i="4"/>
  <c r="D56" i="5" s="1"/>
  <c r="N57" i="4"/>
  <c r="O57" i="4"/>
  <c r="N68" i="4" s="1"/>
  <c r="P58" i="4"/>
  <c r="O58" i="4"/>
  <c r="N58" i="4"/>
  <c r="E157" i="4" l="1"/>
  <c r="E156" i="4"/>
  <c r="E155" i="4"/>
  <c r="E154" i="4"/>
  <c r="E153" i="4"/>
  <c r="E152" i="4"/>
  <c r="E151" i="4"/>
  <c r="E149" i="4"/>
  <c r="E148" i="4"/>
  <c r="E147" i="4"/>
  <c r="E146" i="4"/>
  <c r="E145" i="4"/>
  <c r="E144" i="4"/>
  <c r="E143" i="4"/>
  <c r="E142" i="4"/>
  <c r="E140" i="4"/>
  <c r="E139" i="4"/>
  <c r="E138" i="4"/>
  <c r="E137" i="4"/>
  <c r="E136" i="4"/>
  <c r="E135" i="4"/>
  <c r="E134" i="4"/>
  <c r="E133" i="4"/>
  <c r="E132" i="4"/>
  <c r="E130" i="4"/>
  <c r="E129" i="4"/>
  <c r="E128" i="4"/>
  <c r="E127" i="4"/>
  <c r="E126" i="4"/>
  <c r="E125" i="4"/>
  <c r="E124" i="4"/>
  <c r="E123" i="4"/>
  <c r="E122" i="4"/>
  <c r="E120" i="4"/>
  <c r="E119" i="4"/>
  <c r="E118" i="4"/>
  <c r="E117" i="4"/>
  <c r="E116" i="4"/>
  <c r="E115" i="4"/>
  <c r="E114" i="4"/>
  <c r="E113" i="4"/>
  <c r="E112" i="4"/>
  <c r="E110" i="4"/>
  <c r="E109" i="4"/>
  <c r="E108" i="4"/>
  <c r="E107" i="4"/>
  <c r="E106" i="4"/>
  <c r="E105" i="4"/>
  <c r="E104" i="4"/>
  <c r="E103" i="4"/>
  <c r="E102" i="4"/>
  <c r="E100" i="4"/>
  <c r="E99" i="4"/>
  <c r="E98" i="4"/>
  <c r="E97" i="4"/>
  <c r="E96" i="4"/>
  <c r="E95" i="4"/>
  <c r="E94" i="4"/>
  <c r="E93" i="4"/>
  <c r="E92" i="4"/>
  <c r="E90" i="4"/>
  <c r="E89" i="4"/>
  <c r="E88" i="4"/>
  <c r="E87" i="4"/>
  <c r="E86" i="4"/>
  <c r="E85" i="4"/>
  <c r="E84" i="4"/>
  <c r="E83" i="4"/>
  <c r="E82" i="4"/>
  <c r="E80" i="4"/>
  <c r="E79" i="4"/>
  <c r="E78" i="4"/>
  <c r="E77" i="4"/>
  <c r="E76" i="4"/>
  <c r="E75" i="4"/>
  <c r="E74" i="4"/>
  <c r="E73" i="4"/>
  <c r="E72" i="4"/>
  <c r="E70" i="4"/>
  <c r="E69" i="4"/>
  <c r="E68" i="4"/>
  <c r="E67" i="4"/>
  <c r="E66" i="4"/>
  <c r="E65" i="4"/>
  <c r="E64" i="4"/>
  <c r="E63" i="4"/>
  <c r="E62" i="4"/>
  <c r="E61" i="4" l="1"/>
  <c r="G14" i="4" l="1"/>
  <c r="B64" i="5" s="1"/>
  <c r="A66" i="5"/>
  <c r="A58" i="5"/>
  <c r="W13" i="4"/>
  <c r="J12" i="4"/>
  <c r="R66" i="4" s="1"/>
  <c r="Y10" i="4" l="1"/>
  <c r="Y13" i="4" s="1"/>
  <c r="X10" i="4"/>
  <c r="X13" i="4" s="1"/>
  <c r="L10" i="4"/>
  <c r="T68" i="4" s="1"/>
  <c r="K10" i="4"/>
  <c r="S68" i="4" s="1"/>
  <c r="J10" i="4"/>
  <c r="T64" i="4" l="1"/>
  <c r="J76" i="5" s="1"/>
  <c r="C63" i="5"/>
  <c r="C62" i="5"/>
  <c r="K44" i="1"/>
  <c r="K12" i="4"/>
  <c r="S66" i="4" s="1"/>
  <c r="K46" i="1"/>
  <c r="L12" i="4"/>
  <c r="T66" i="4" s="1"/>
  <c r="C60" i="5"/>
  <c r="C59" i="5"/>
  <c r="A59" i="5"/>
  <c r="C61" i="5" l="1"/>
  <c r="C58" i="5"/>
  <c r="M26" i="4"/>
  <c r="A53" i="5" s="1"/>
  <c r="K55" i="1"/>
  <c r="G42" i="4" l="1"/>
  <c r="F41" i="4"/>
  <c r="F40" i="4"/>
  <c r="F39" i="4"/>
  <c r="F38" i="4"/>
  <c r="F37" i="4"/>
  <c r="E41" i="4"/>
  <c r="E40" i="4"/>
  <c r="E39" i="4"/>
  <c r="E38" i="4"/>
  <c r="E37" i="4"/>
  <c r="E34" i="4"/>
  <c r="R54" i="4" l="1"/>
  <c r="T54" i="4" l="1"/>
  <c r="S54" i="4"/>
  <c r="K13" i="4" l="1"/>
  <c r="L14" i="4"/>
  <c r="L13" i="4"/>
  <c r="K14" i="4"/>
  <c r="J14" i="4"/>
  <c r="J13" i="4"/>
  <c r="F85" i="5" l="1"/>
  <c r="I85" i="5" s="1"/>
  <c r="O49" i="4"/>
  <c r="O46" i="4"/>
  <c r="N52" i="4"/>
  <c r="D85" i="5" l="1"/>
  <c r="G85" i="5" s="1"/>
  <c r="S30" i="4" l="1"/>
  <c r="U30" i="4" s="1"/>
  <c r="R30" i="4"/>
  <c r="T30" i="4" s="1"/>
  <c r="V30" i="4" l="1"/>
  <c r="W30" i="4" s="1"/>
  <c r="C92" i="5"/>
  <c r="C45" i="5"/>
  <c r="C56" i="5" s="1"/>
  <c r="C57" i="5" s="1"/>
  <c r="J57" i="5" s="1"/>
  <c r="C49" i="5"/>
  <c r="T32" i="4"/>
  <c r="T28" i="4"/>
  <c r="T36" i="4" s="1"/>
  <c r="M53" i="1"/>
  <c r="O23" i="4"/>
  <c r="M32" i="4"/>
  <c r="A56" i="5" s="1"/>
  <c r="X30" i="4" l="1"/>
  <c r="C40" i="5"/>
  <c r="R61" i="4"/>
  <c r="S61" i="4" s="1"/>
  <c r="R55" i="4" l="1"/>
  <c r="D39" i="5" s="1"/>
  <c r="T55" i="4" l="1"/>
  <c r="G39" i="5"/>
  <c r="S55" i="4" l="1"/>
  <c r="R17" i="4"/>
  <c r="P17" i="4"/>
  <c r="O17" i="4"/>
  <c r="N17" i="4"/>
  <c r="F39" i="5" l="1"/>
  <c r="E39" i="5"/>
  <c r="I39" i="5" l="1"/>
  <c r="H39" i="5"/>
  <c r="G61" i="1" l="1"/>
  <c r="H61" i="1" s="1"/>
  <c r="D61" i="1"/>
  <c r="E61" i="1" s="1"/>
  <c r="T5" i="4" l="1"/>
  <c r="A22" i="5" s="1"/>
  <c r="S5" i="4"/>
  <c r="S1" i="4"/>
  <c r="T1" i="4"/>
  <c r="F34" i="5"/>
  <c r="I34" i="5" s="1"/>
  <c r="F33" i="5"/>
  <c r="I33" i="5" s="1"/>
  <c r="F29" i="5"/>
  <c r="I29" i="5" s="1"/>
  <c r="F28" i="5"/>
  <c r="I28" i="5" s="1"/>
  <c r="F24" i="5"/>
  <c r="I24" i="5" s="1"/>
  <c r="F23" i="5"/>
  <c r="I23" i="5" s="1"/>
  <c r="O47" i="4" l="1"/>
  <c r="O48" i="4"/>
  <c r="O51" i="4"/>
  <c r="O50" i="4"/>
  <c r="V4" i="4"/>
  <c r="M15" i="1" s="1"/>
  <c r="C21" i="5"/>
  <c r="O52" i="4" l="1"/>
  <c r="P53" i="4" s="1"/>
  <c r="E85" i="5" s="1"/>
  <c r="H85" i="5" s="1"/>
  <c r="J85" i="5" s="1"/>
  <c r="V5" i="4"/>
  <c r="V6" i="4" s="1"/>
  <c r="E24" i="5" s="1"/>
  <c r="E25" i="5" s="1"/>
  <c r="H25" i="5" s="1"/>
  <c r="F19" i="5"/>
  <c r="I19" i="5" s="1"/>
  <c r="F14" i="5"/>
  <c r="I14" i="5" s="1"/>
  <c r="F9" i="5"/>
  <c r="I9" i="5" s="1"/>
  <c r="F18" i="5"/>
  <c r="I18" i="5" s="1"/>
  <c r="F13" i="5"/>
  <c r="I13" i="5" s="1"/>
  <c r="F8" i="5"/>
  <c r="I8" i="5" s="1"/>
  <c r="U4" i="4"/>
  <c r="U5" i="4" s="1"/>
  <c r="E33" i="5"/>
  <c r="E28" i="5"/>
  <c r="E23" i="5"/>
  <c r="E18" i="5"/>
  <c r="E13" i="5"/>
  <c r="E8" i="5"/>
  <c r="H8" i="5" s="1"/>
  <c r="A32" i="5"/>
  <c r="A27" i="5"/>
  <c r="A17" i="5"/>
  <c r="A12" i="5"/>
  <c r="A7" i="5"/>
  <c r="C35" i="5"/>
  <c r="C34" i="5"/>
  <c r="C33" i="5"/>
  <c r="C30" i="5"/>
  <c r="C29" i="5"/>
  <c r="C28" i="5"/>
  <c r="C25" i="5"/>
  <c r="C24" i="5"/>
  <c r="C23" i="5"/>
  <c r="C20" i="5"/>
  <c r="C19" i="5"/>
  <c r="C18" i="5"/>
  <c r="C13" i="5"/>
  <c r="C36" i="5"/>
  <c r="C31" i="5"/>
  <c r="C26" i="5"/>
  <c r="C16" i="5"/>
  <c r="C15" i="5"/>
  <c r="C14" i="5"/>
  <c r="C11" i="5"/>
  <c r="C10" i="5"/>
  <c r="C8" i="5"/>
  <c r="C9" i="5"/>
  <c r="B23" i="1"/>
  <c r="B19" i="1"/>
  <c r="D36" i="5"/>
  <c r="G36" i="5" s="1"/>
  <c r="D31" i="5"/>
  <c r="G31" i="5" s="1"/>
  <c r="D26" i="5"/>
  <c r="G26" i="5" s="1"/>
  <c r="D21" i="5"/>
  <c r="G21" i="5" s="1"/>
  <c r="D16" i="5"/>
  <c r="G16" i="5" s="1"/>
  <c r="D11" i="5"/>
  <c r="G11" i="5" s="1"/>
  <c r="D35" i="5"/>
  <c r="D30" i="5"/>
  <c r="D25" i="5"/>
  <c r="D20" i="5"/>
  <c r="F21" i="5" s="1"/>
  <c r="I21" i="5" s="1"/>
  <c r="D15" i="5"/>
  <c r="G15" i="5" s="1"/>
  <c r="D10" i="5"/>
  <c r="G10" i="5" s="1"/>
  <c r="D34" i="5"/>
  <c r="G34" i="5" s="1"/>
  <c r="D29" i="5"/>
  <c r="G29" i="5" s="1"/>
  <c r="D24" i="5"/>
  <c r="G24" i="5" s="1"/>
  <c r="D19" i="5"/>
  <c r="G19" i="5" s="1"/>
  <c r="D14" i="5"/>
  <c r="G14" i="5" s="1"/>
  <c r="D9" i="5"/>
  <c r="G9" i="5" s="1"/>
  <c r="D33" i="5"/>
  <c r="G33" i="5" s="1"/>
  <c r="D28" i="5"/>
  <c r="G28" i="5" s="1"/>
  <c r="D23" i="5"/>
  <c r="G23" i="5" s="1"/>
  <c r="D18" i="5"/>
  <c r="G18" i="5" s="1"/>
  <c r="D13" i="5"/>
  <c r="G13" i="5" s="1"/>
  <c r="D8" i="5"/>
  <c r="G8" i="5" s="1"/>
  <c r="G4" i="5"/>
  <c r="A14" i="4"/>
  <c r="A12" i="4" s="1"/>
  <c r="A15" i="4" s="1"/>
  <c r="E36" i="5" l="1"/>
  <c r="H36" i="5" s="1"/>
  <c r="E26" i="5"/>
  <c r="H26" i="5" s="1"/>
  <c r="E29" i="5"/>
  <c r="E30" i="5" s="1"/>
  <c r="H30" i="5" s="1"/>
  <c r="H24" i="5"/>
  <c r="E31" i="5"/>
  <c r="H31" i="5" s="1"/>
  <c r="E34" i="5"/>
  <c r="E35" i="5" s="1"/>
  <c r="H35" i="5" s="1"/>
  <c r="G25" i="5"/>
  <c r="F26" i="5"/>
  <c r="I26" i="5" s="1"/>
  <c r="G30" i="5"/>
  <c r="F31" i="5"/>
  <c r="I31" i="5" s="1"/>
  <c r="G35" i="5"/>
  <c r="F36" i="5"/>
  <c r="I36" i="5" s="1"/>
  <c r="F15" i="5"/>
  <c r="I15" i="5" s="1"/>
  <c r="F11" i="5"/>
  <c r="I11" i="5" s="1"/>
  <c r="F16" i="5"/>
  <c r="I16" i="5" s="1"/>
  <c r="G20" i="5"/>
  <c r="H28" i="5"/>
  <c r="F30" i="5"/>
  <c r="I30" i="5" s="1"/>
  <c r="H33" i="5"/>
  <c r="F35" i="5"/>
  <c r="I35" i="5" s="1"/>
  <c r="H23" i="5"/>
  <c r="F25" i="5"/>
  <c r="I25" i="5" s="1"/>
  <c r="H18" i="5"/>
  <c r="F20" i="5"/>
  <c r="I20" i="5" s="1"/>
  <c r="F10" i="5"/>
  <c r="I10" i="5" s="1"/>
  <c r="H13" i="5"/>
  <c r="E11" i="5"/>
  <c r="H11" i="5" s="1"/>
  <c r="E9" i="5"/>
  <c r="E19" i="5"/>
  <c r="E21" i="5"/>
  <c r="H21" i="5" s="1"/>
  <c r="E14" i="5"/>
  <c r="E16" i="5"/>
  <c r="H16" i="5" s="1"/>
  <c r="M9" i="1"/>
  <c r="A13" i="4"/>
  <c r="H29" i="5" l="1"/>
  <c r="H34" i="5"/>
  <c r="H19" i="5"/>
  <c r="E20" i="5"/>
  <c r="H20" i="5" s="1"/>
  <c r="E10" i="5"/>
  <c r="H10" i="5" s="1"/>
  <c r="H9" i="5"/>
  <c r="H14" i="5"/>
  <c r="E15" i="5"/>
  <c r="H15" i="5" s="1"/>
  <c r="O13" i="4"/>
  <c r="A1" i="5" s="1"/>
  <c r="O7" i="1" l="1"/>
  <c r="O6" i="1"/>
  <c r="L6" i="1"/>
  <c r="M7" i="1"/>
  <c r="O26" i="4" l="1"/>
  <c r="N26" i="4"/>
  <c r="R24" i="4"/>
  <c r="R23" i="4" s="1"/>
  <c r="N38" i="4" s="1"/>
  <c r="K2" i="4"/>
  <c r="I32" i="4" l="1"/>
  <c r="U23" i="4"/>
  <c r="V23" i="4"/>
  <c r="T23" i="4"/>
  <c r="S23" i="4"/>
  <c r="T61" i="4" s="1"/>
  <c r="M3" i="4"/>
  <c r="Q26" i="4"/>
  <c r="M1" i="4"/>
  <c r="G55" i="1"/>
  <c r="O7" i="4" l="1"/>
  <c r="N7" i="4"/>
  <c r="M7" i="4"/>
  <c r="N1" i="4"/>
  <c r="B44" i="5"/>
  <c r="B43" i="5"/>
  <c r="B42" i="5"/>
  <c r="B37" i="5"/>
  <c r="B40" i="5"/>
  <c r="Q23" i="4"/>
  <c r="Y30" i="4"/>
  <c r="D40" i="5" s="1"/>
  <c r="P30" i="4"/>
  <c r="O30" i="4"/>
  <c r="N30" i="4"/>
  <c r="G3" i="4"/>
  <c r="P27" i="4" s="1"/>
  <c r="P26" i="4" s="1"/>
  <c r="C53" i="5" l="1"/>
  <c r="T38" i="4"/>
  <c r="N40" i="4"/>
  <c r="P28" i="4"/>
  <c r="N42" i="4"/>
  <c r="B49" i="5" s="1"/>
  <c r="T34" i="4"/>
  <c r="D45" i="5" s="1"/>
  <c r="L15" i="4"/>
  <c r="J44" i="5" s="1"/>
  <c r="J15" i="4"/>
  <c r="J42" i="5" s="1"/>
  <c r="K15" i="4"/>
  <c r="J43" i="5" s="1"/>
  <c r="Q17" i="4"/>
  <c r="S17" i="4" s="1"/>
  <c r="D37" i="5" s="1"/>
  <c r="J8" i="5"/>
  <c r="J18" i="5"/>
  <c r="J23" i="5"/>
  <c r="J25" i="5"/>
  <c r="J35" i="5"/>
  <c r="J33" i="5"/>
  <c r="J28" i="5"/>
  <c r="J16" i="5"/>
  <c r="J26" i="5"/>
  <c r="J21" i="5"/>
  <c r="J24" i="5"/>
  <c r="J31" i="5"/>
  <c r="J30" i="5"/>
  <c r="J13" i="5"/>
  <c r="J36" i="5"/>
  <c r="J11" i="5"/>
  <c r="J10" i="5"/>
  <c r="J14" i="5"/>
  <c r="J29" i="5"/>
  <c r="J19" i="5"/>
  <c r="J15" i="5"/>
  <c r="J9" i="5"/>
  <c r="J20" i="5"/>
  <c r="J34" i="5"/>
  <c r="J39" i="5"/>
  <c r="P23" i="4"/>
  <c r="G33" i="4"/>
  <c r="T44" i="4" l="1"/>
  <c r="T46" i="4" s="1"/>
  <c r="B45" i="5"/>
  <c r="B53" i="5"/>
  <c r="H45" i="5"/>
  <c r="T40" i="4"/>
  <c r="T42" i="4" s="1"/>
  <c r="B85" i="5"/>
  <c r="L1" i="4"/>
  <c r="G35" i="4"/>
  <c r="G34" i="4"/>
  <c r="H49" i="5" l="1"/>
  <c r="D49" i="5"/>
  <c r="I30" i="4"/>
  <c r="B39" i="5" s="1"/>
  <c r="I28" i="4"/>
  <c r="B56" i="5" l="1"/>
  <c r="B33" i="5"/>
  <c r="M31" i="1"/>
  <c r="W7" i="4" l="1"/>
  <c r="W6" i="4" s="1"/>
  <c r="W5" i="4" l="1"/>
  <c r="W4" i="4" s="1"/>
  <c r="J11" i="4" s="1"/>
  <c r="X5" i="4"/>
  <c r="X4" i="4" s="1"/>
  <c r="K11" i="4" s="1"/>
  <c r="Y5" i="4"/>
  <c r="Y4" i="4" s="1"/>
  <c r="L11" i="4" s="1"/>
  <c r="H13" i="1"/>
  <c r="P59" i="4"/>
  <c r="O59" i="4"/>
  <c r="N60" i="4"/>
  <c r="N61" i="4"/>
  <c r="P60" i="4"/>
  <c r="N59" i="4"/>
  <c r="O60" i="4"/>
  <c r="O61" i="4"/>
  <c r="P61" i="4"/>
  <c r="C72" i="5" l="1"/>
  <c r="C74" i="5" s="1"/>
  <c r="C68" i="5"/>
  <c r="C70" i="5" s="1"/>
  <c r="C64" i="5"/>
  <c r="C66" i="5" s="1"/>
  <c r="N67" i="4"/>
  <c r="D74" i="5" s="1"/>
  <c r="N66" i="4"/>
  <c r="D70" i="5" s="1"/>
  <c r="N65" i="4"/>
  <c r="D66" i="5" s="1"/>
  <c r="N64" i="4"/>
  <c r="D72" i="5" s="1"/>
  <c r="N63" i="4"/>
  <c r="D68" i="5" s="1"/>
  <c r="N62" i="4"/>
  <c r="D64" i="5" s="1"/>
  <c r="D61" i="5"/>
  <c r="D60" i="5"/>
  <c r="D59" i="5"/>
  <c r="D58" i="5"/>
  <c r="D63" i="5"/>
  <c r="D62" i="5"/>
  <c r="O13" i="1"/>
  <c r="J1" i="4" l="1"/>
  <c r="O14" i="4" s="1"/>
  <c r="H6" i="1"/>
  <c r="B2" i="1" l="1"/>
  <c r="A2" i="5"/>
  <c r="G11" i="1" l="1"/>
  <c r="B23" i="5"/>
  <c r="B18" i="5"/>
  <c r="B13" i="5"/>
  <c r="B28" i="5"/>
  <c r="B8" i="5"/>
</calcChain>
</file>

<file path=xl/sharedStrings.xml><?xml version="1.0" encoding="utf-8"?>
<sst xmlns="http://schemas.openxmlformats.org/spreadsheetml/2006/main" count="578" uniqueCount="290">
  <si>
    <t>АВГ-БМ</t>
  </si>
  <si>
    <t>АВГ-МБ</t>
  </si>
  <si>
    <t>АВГ-КБ</t>
  </si>
  <si>
    <t>2АВГ</t>
  </si>
  <si>
    <t>20</t>
  </si>
  <si>
    <t>9</t>
  </si>
  <si>
    <t>1</t>
  </si>
  <si>
    <t>0.6</t>
  </si>
  <si>
    <t>1.6</t>
  </si>
  <si>
    <t>6.3</t>
  </si>
  <si>
    <t>2.5</t>
  </si>
  <si>
    <t>10</t>
  </si>
  <si>
    <t>16</t>
  </si>
  <si>
    <t>Б1</t>
  </si>
  <si>
    <t>Б2</t>
  </si>
  <si>
    <t>Б3</t>
  </si>
  <si>
    <t>Б2.1</t>
  </si>
  <si>
    <t>Б3.1</t>
  </si>
  <si>
    <t>Б4</t>
  </si>
  <si>
    <t>Б4.1</t>
  </si>
  <si>
    <t>Б5</t>
  </si>
  <si>
    <t>Б5.1</t>
  </si>
  <si>
    <t>2</t>
  </si>
  <si>
    <t>3</t>
  </si>
  <si>
    <t>4</t>
  </si>
  <si>
    <t>5</t>
  </si>
  <si>
    <t>6</t>
  </si>
  <si>
    <t>8</t>
  </si>
  <si>
    <t>7</t>
  </si>
  <si>
    <t>11</t>
  </si>
  <si>
    <t>12</t>
  </si>
  <si>
    <t>13</t>
  </si>
  <si>
    <t>14</t>
  </si>
  <si>
    <t>15</t>
  </si>
  <si>
    <t>У</t>
  </si>
  <si>
    <t>УХЛ</t>
  </si>
  <si>
    <t>У1</t>
  </si>
  <si>
    <t>УХЛ1</t>
  </si>
  <si>
    <t>ХЛ</t>
  </si>
  <si>
    <t>ХЛ1</t>
  </si>
  <si>
    <t>Номер</t>
  </si>
  <si>
    <t>Дата</t>
  </si>
  <si>
    <t>Позиция</t>
  </si>
  <si>
    <t>Ревизия</t>
  </si>
  <si>
    <t>Тип обсчета</t>
  </si>
  <si>
    <t>аппарат</t>
  </si>
  <si>
    <t>секция</t>
  </si>
  <si>
    <t>АВО</t>
  </si>
  <si>
    <t>Материал камеры</t>
  </si>
  <si>
    <t>блок аппаратов</t>
  </si>
  <si>
    <t>09Г2С</t>
  </si>
  <si>
    <t>15Х5М</t>
  </si>
  <si>
    <t>М2б</t>
  </si>
  <si>
    <t>12Х18Н10Т</t>
  </si>
  <si>
    <t>Тип камеры</t>
  </si>
  <si>
    <t>Коллектор</t>
  </si>
  <si>
    <t>Цельносварная</t>
  </si>
  <si>
    <t>Длина камеры</t>
  </si>
  <si>
    <t>Стенка боковая</t>
  </si>
  <si>
    <t>Стенка</t>
  </si>
  <si>
    <t>Стенка торцевая</t>
  </si>
  <si>
    <t>Перегородка</t>
  </si>
  <si>
    <t>Глубина передней камеры</t>
  </si>
  <si>
    <t>Глубина задней камеры</t>
  </si>
  <si>
    <t>Высота передней камеры 2</t>
  </si>
  <si>
    <t>Высота передней камеры 3</t>
  </si>
  <si>
    <t>Высота задней камеры 2</t>
  </si>
  <si>
    <t>Высота задней камеры 3</t>
  </si>
  <si>
    <t>мм</t>
  </si>
  <si>
    <t>Ду</t>
  </si>
  <si>
    <t>25</t>
  </si>
  <si>
    <t>50</t>
  </si>
  <si>
    <t>80</t>
  </si>
  <si>
    <t>100</t>
  </si>
  <si>
    <t>125</t>
  </si>
  <si>
    <t>150</t>
  </si>
  <si>
    <t>200</t>
  </si>
  <si>
    <t>250</t>
  </si>
  <si>
    <t>300</t>
  </si>
  <si>
    <t>350</t>
  </si>
  <si>
    <t>Ст20</t>
  </si>
  <si>
    <t>08Х22Н6Т</t>
  </si>
  <si>
    <t>вход</t>
  </si>
  <si>
    <t>выход</t>
  </si>
  <si>
    <t>сброс</t>
  </si>
  <si>
    <t>по фланцу</t>
  </si>
  <si>
    <t>Диаметр трубы</t>
  </si>
  <si>
    <t>Толщина</t>
  </si>
  <si>
    <t>Проходное сечение</t>
  </si>
  <si>
    <t>Количество труб</t>
  </si>
  <si>
    <t>ряд 1</t>
  </si>
  <si>
    <t>ряд 2</t>
  </si>
  <si>
    <t>всего</t>
  </si>
  <si>
    <t>Тип трубы</t>
  </si>
  <si>
    <t>Биметалл</t>
  </si>
  <si>
    <t>G-fin</t>
  </si>
  <si>
    <t>Стальная лента</t>
  </si>
  <si>
    <t>Труба несущая</t>
  </si>
  <si>
    <t>Оребрение</t>
  </si>
  <si>
    <t>10Х17Н13М2Т</t>
  </si>
  <si>
    <t>08Х21Н6М2Т</t>
  </si>
  <si>
    <t>ДКРНП</t>
  </si>
  <si>
    <t>ГОСТ 550-75</t>
  </si>
  <si>
    <t>ГОСТ 9941-81</t>
  </si>
  <si>
    <t>ТУ 14-3-1905-93</t>
  </si>
  <si>
    <t>камера</t>
  </si>
  <si>
    <t>труба</t>
  </si>
  <si>
    <t>плотность</t>
  </si>
  <si>
    <t>ГОСТ 21646-76</t>
  </si>
  <si>
    <t>10Г2</t>
  </si>
  <si>
    <t>08Х18Н10Т</t>
  </si>
  <si>
    <t>ГОСТ Р 54159-2010</t>
  </si>
  <si>
    <t>ГОСТ 5520-79</t>
  </si>
  <si>
    <t>ГОСТ 7350-77</t>
  </si>
  <si>
    <t>-БХ-</t>
  </si>
  <si>
    <t>-В</t>
  </si>
  <si>
    <t>доп. камера</t>
  </si>
  <si>
    <t>мат. камера</t>
  </si>
  <si>
    <t>документ</t>
  </si>
  <si>
    <t>тип камеры</t>
  </si>
  <si>
    <t>мат. фланцев</t>
  </si>
  <si>
    <t>выбор числа</t>
  </si>
  <si>
    <t>тип обсчета</t>
  </si>
  <si>
    <t>уплотнение</t>
  </si>
  <si>
    <t>давление</t>
  </si>
  <si>
    <t>мат. исп</t>
  </si>
  <si>
    <t>оребрения</t>
  </si>
  <si>
    <t>климат</t>
  </si>
  <si>
    <t>ходов</t>
  </si>
  <si>
    <t>рядов</t>
  </si>
  <si>
    <t>длина</t>
  </si>
  <si>
    <t>жалюзи</t>
  </si>
  <si>
    <t>передняя</t>
  </si>
  <si>
    <t>задняя</t>
  </si>
  <si>
    <t>разрезная</t>
  </si>
  <si>
    <t>пердняя</t>
  </si>
  <si>
    <t>глубина камеры</t>
  </si>
  <si>
    <t>материал ответных</t>
  </si>
  <si>
    <t>мат. Ответных</t>
  </si>
  <si>
    <t>ду  входа/выхода</t>
  </si>
  <si>
    <t>ду фланцев</t>
  </si>
  <si>
    <t>ду выхода</t>
  </si>
  <si>
    <t>ду сброса</t>
  </si>
  <si>
    <t>-ЛАМШ 77-2-0.05</t>
  </si>
  <si>
    <t>-ДКРНП-</t>
  </si>
  <si>
    <t>материал камеры</t>
  </si>
  <si>
    <t>Проклакда</t>
  </si>
  <si>
    <t>Крепеж</t>
  </si>
  <si>
    <t>СНП</t>
  </si>
  <si>
    <t>ПМБ</t>
  </si>
  <si>
    <t>ПУТГ</t>
  </si>
  <si>
    <t>прокладка</t>
  </si>
  <si>
    <t>40Х</t>
  </si>
  <si>
    <t>ХН35ВТ</t>
  </si>
  <si>
    <t>20ХН3А</t>
  </si>
  <si>
    <t>крепеж</t>
  </si>
  <si>
    <t>08КП</t>
  </si>
  <si>
    <t>мат оребрения</t>
  </si>
  <si>
    <t>диаметр</t>
  </si>
  <si>
    <t>толщина</t>
  </si>
  <si>
    <t>х</t>
  </si>
  <si>
    <t>диам. оребрения</t>
  </si>
  <si>
    <t>толщ. ребра</t>
  </si>
  <si>
    <t>шаг</t>
  </si>
  <si>
    <t>несущая</t>
  </si>
  <si>
    <t>обозначение трубы</t>
  </si>
  <si>
    <t>гост</t>
  </si>
  <si>
    <t>14.6, 20</t>
  </si>
  <si>
    <t>материал</t>
  </si>
  <si>
    <t xml:space="preserve"> </t>
  </si>
  <si>
    <t>обтюратор</t>
  </si>
  <si>
    <t>обварка</t>
  </si>
  <si>
    <t>термообработка</t>
  </si>
  <si>
    <t>турбулизатор</t>
  </si>
  <si>
    <t>Количество перегородок</t>
  </si>
  <si>
    <t>Выхода</t>
  </si>
  <si>
    <t>Сброса</t>
  </si>
  <si>
    <t>Составил</t>
  </si>
  <si>
    <t>Богачевский А.Ю.</t>
  </si>
  <si>
    <t>Савенков Н.И.</t>
  </si>
  <si>
    <t>ЗИП</t>
  </si>
  <si>
    <t>пробки</t>
  </si>
  <si>
    <t>метизы</t>
  </si>
  <si>
    <t>фланцы</t>
  </si>
  <si>
    <t>прокладки</t>
  </si>
  <si>
    <t>Наименование
деталей</t>
  </si>
  <si>
    <t>Марка стали, ГОСТ</t>
  </si>
  <si>
    <t>b</t>
  </si>
  <si>
    <t>B</t>
  </si>
  <si>
    <t>L</t>
  </si>
  <si>
    <t>Масса,
кг</t>
  </si>
  <si>
    <t>за ед.</t>
  </si>
  <si>
    <t>Кол-
во</t>
  </si>
  <si>
    <t>Название документа</t>
  </si>
  <si>
    <t xml:space="preserve">Тип секции </t>
  </si>
  <si>
    <t>тип секции</t>
  </si>
  <si>
    <t>Всего камер</t>
  </si>
  <si>
    <t>чист. макс</t>
  </si>
  <si>
    <t>---</t>
  </si>
  <si>
    <t>количество</t>
  </si>
  <si>
    <t>обозначение</t>
  </si>
  <si>
    <t>Длина</t>
  </si>
  <si>
    <t>Заглушка</t>
  </si>
  <si>
    <t>Труба (калачи)</t>
  </si>
  <si>
    <t>изм. материал</t>
  </si>
  <si>
    <t>коллектор</t>
  </si>
  <si>
    <t>длина общ.</t>
  </si>
  <si>
    <t>масса общ.</t>
  </si>
  <si>
    <t>материал листа коллектора</t>
  </si>
  <si>
    <t>толщина листа коллектора</t>
  </si>
  <si>
    <t>доп.
камера</t>
  </si>
  <si>
    <t>труба на калач</t>
  </si>
  <si>
    <t>диам. оребр.</t>
  </si>
  <si>
    <t>труб ряд 1</t>
  </si>
  <si>
    <t>труб ряд 2</t>
  </si>
  <si>
    <t>всего труб</t>
  </si>
  <si>
    <t>калачей</t>
  </si>
  <si>
    <t>общ. длина</t>
  </si>
  <si>
    <t>масса 1 м.п.</t>
  </si>
  <si>
    <t>труб 9 м.п.</t>
  </si>
  <si>
    <t>Изготовление калачей</t>
  </si>
  <si>
    <t>Чистовые размеры, мм</t>
  </si>
  <si>
    <t>общ.</t>
  </si>
  <si>
    <t>Размеры заготовки, мм</t>
  </si>
  <si>
    <t>высота стенки боковой</t>
  </si>
  <si>
    <t>цельносварная</t>
  </si>
  <si>
    <t>коэфф. запаса</t>
  </si>
  <si>
    <t>Патрубок</t>
  </si>
  <si>
    <t>Патрубок выход</t>
  </si>
  <si>
    <t>Патрубок воздушник</t>
  </si>
  <si>
    <t>убрать если не 2авг</t>
  </si>
  <si>
    <t>Материал трубы камеры</t>
  </si>
  <si>
    <t>38</t>
  </si>
  <si>
    <t>68</t>
  </si>
  <si>
    <t>102</t>
  </si>
  <si>
    <t>121</t>
  </si>
  <si>
    <t>146</t>
  </si>
  <si>
    <t>168</t>
  </si>
  <si>
    <t>патрубок</t>
  </si>
  <si>
    <t>масса</t>
  </si>
  <si>
    <t>J</t>
  </si>
  <si>
    <t>предел текучести</t>
  </si>
  <si>
    <t>общ. масса</t>
  </si>
  <si>
    <t>3% брак</t>
  </si>
  <si>
    <t>доп.1</t>
  </si>
  <si>
    <t>доп.2</t>
  </si>
  <si>
    <t>Труба оребрения</t>
  </si>
  <si>
    <t>обозначение трубы оребрения</t>
  </si>
  <si>
    <t>обозначение трубы несущей</t>
  </si>
  <si>
    <t>оребрение</t>
  </si>
  <si>
    <t>АД1</t>
  </si>
  <si>
    <t>обозначение стальная лента и g-fin</t>
  </si>
  <si>
    <t>Фланец выхода</t>
  </si>
  <si>
    <t>Фланец сброса</t>
  </si>
  <si>
    <t>Стоимость,
руб.</t>
  </si>
  <si>
    <t>Кол-во</t>
  </si>
  <si>
    <t>ду входа</t>
  </si>
  <si>
    <t>шт      Py</t>
  </si>
  <si>
    <t>Тип</t>
  </si>
  <si>
    <t>уплотнение ответных</t>
  </si>
  <si>
    <t>F</t>
  </si>
  <si>
    <t>(ответный)</t>
  </si>
  <si>
    <t>Шпилька
фланец выхода</t>
  </si>
  <si>
    <t>Гайка
фланец выхода</t>
  </si>
  <si>
    <t>Шпилька
фланец сброса</t>
  </si>
  <si>
    <t>Гайка
фланец сброса</t>
  </si>
  <si>
    <t>4543-71</t>
  </si>
  <si>
    <t>5632-72</t>
  </si>
  <si>
    <t>ду 25</t>
  </si>
  <si>
    <t>длина шпильки</t>
  </si>
  <si>
    <t>шпильки</t>
  </si>
  <si>
    <t>покрытие</t>
  </si>
  <si>
    <t>диапазон</t>
  </si>
  <si>
    <t>гайки</t>
  </si>
  <si>
    <t>параметры</t>
  </si>
  <si>
    <t>температура</t>
  </si>
  <si>
    <t>испытания</t>
  </si>
  <si>
    <t>1.0.0</t>
  </si>
  <si>
    <t>версия</t>
  </si>
  <si>
    <t>резьба пробки</t>
  </si>
  <si>
    <t>Прокладка пробки</t>
  </si>
  <si>
    <t>Медь М1 S=2</t>
  </si>
  <si>
    <t>диам. проладки</t>
  </si>
  <si>
    <t>12.10.18</t>
  </si>
  <si>
    <t>Прокладка</t>
  </si>
  <si>
    <t>Паронит ПМБ ГОСТ 481-80</t>
  </si>
  <si>
    <t>плотность ПМБ</t>
  </si>
  <si>
    <t>масса паронит</t>
  </si>
  <si>
    <t>всего масса</t>
  </si>
  <si>
    <t>уточнение что труба покупная, изменить биметалл на накатку, добавить навивку, прописать в скрипт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</si>
</sst>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;@"/>
    <numFmt numFmtId="165" formatCode="0.0"/>
  </numFmts>
  <fonts count="11" x14ac:knownFonts="1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1"/>
      <color theme="1"/>
      <name val="Cambria"/>
      <family val="1"/>
      <charset val="204"/>
      <scheme val="major"/>
    </font>
    <font>
      <sz val="12"/>
      <color theme="1"/>
      <name val="Cambria"/>
      <family val="1"/>
      <charset val="204"/>
      <scheme val="major"/>
    </font>
    <font>
      <b/>
      <sz val="11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b/>
      <sz val="10"/>
      <color theme="1"/>
      <name val="Cambria"/>
      <family val="1"/>
      <charset val="204"/>
      <scheme val="major"/>
    </font>
    <font>
      <sz val="10"/>
      <color theme="1"/>
      <name val="Cambria"/>
      <family val="1"/>
      <charset val="204"/>
      <scheme val="maj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</fills>
  <borders count="40">
    <border>
      <left/>
      <right/>
      <top/>
      <bottom/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theme="3" tint="0.79998168889431442"/>
      </top>
      <bottom/>
      <diagonal/>
    </border>
    <border>
      <left/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8168889431442"/>
      </left>
      <right/>
      <top/>
      <bottom/>
      <diagonal/>
    </border>
    <border>
      <left/>
      <right style="thin">
        <color theme="3" tint="0.79998168889431442"/>
      </right>
      <top/>
      <bottom/>
      <diagonal/>
    </border>
    <border>
      <left style="thin">
        <color theme="3" tint="0.79995117038483843"/>
      </left>
      <right style="thin">
        <color theme="3" tint="0.79995117038483843"/>
      </right>
      <top style="thin">
        <color theme="3" tint="0.79995117038483843"/>
      </top>
      <bottom style="thin">
        <color theme="3" tint="0.79995117038483843"/>
      </bottom>
      <diagonal/>
    </border>
    <border>
      <left style="thin">
        <color theme="3" tint="0.79992065187536243"/>
      </left>
      <right style="thin">
        <color theme="3" tint="0.79992065187536243"/>
      </right>
      <top style="thin">
        <color theme="3" tint="0.79992065187536243"/>
      </top>
      <bottom style="thin">
        <color theme="3" tint="0.79992065187536243"/>
      </bottom>
      <diagonal/>
    </border>
    <border>
      <left style="thin">
        <color theme="3" tint="0.79992065187536243"/>
      </left>
      <right/>
      <top/>
      <bottom/>
      <diagonal/>
    </border>
    <border>
      <left/>
      <right style="thin">
        <color theme="3" tint="0.79992065187536243"/>
      </right>
      <top/>
      <bottom/>
      <diagonal/>
    </border>
    <border>
      <left style="thin">
        <color theme="3" tint="0.79995117038483843"/>
      </left>
      <right/>
      <top/>
      <bottom/>
      <diagonal/>
    </border>
    <border>
      <left style="thin">
        <color rgb="FFF2F2F2"/>
      </left>
      <right/>
      <top/>
      <bottom/>
      <diagonal/>
    </border>
    <border>
      <left/>
      <right style="thin">
        <color rgb="FFF2F2F2"/>
      </right>
      <top/>
      <bottom/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/>
      <top style="thin">
        <color theme="3" tint="0.79995117038483843"/>
      </top>
      <bottom/>
      <diagonal/>
    </border>
    <border>
      <left style="thin">
        <color theme="3" tint="0.79998168889431442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rgb="FFF2F2F2"/>
      </left>
      <right/>
      <top style="thin">
        <color rgb="FFF2F2F2"/>
      </top>
      <bottom style="thin">
        <color rgb="FFF2F2F2"/>
      </bottom>
      <diagonal/>
    </border>
    <border>
      <left style="thin">
        <color rgb="FFF2F2F2"/>
      </left>
      <right style="thin">
        <color rgb="FFF2F2F2"/>
      </right>
      <top/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3" tint="0.79992065187536243"/>
      </left>
      <right/>
      <top style="thin">
        <color theme="3" tint="0.79992065187536243"/>
      </top>
      <bottom style="thin">
        <color theme="3" tint="0.79992065187536243"/>
      </bottom>
      <diagonal/>
    </border>
    <border>
      <left/>
      <right/>
      <top style="thin">
        <color theme="3" tint="0.79992065187536243"/>
      </top>
      <bottom style="thin">
        <color theme="3" tint="0.79992065187536243"/>
      </bottom>
      <diagonal/>
    </border>
    <border>
      <left/>
      <right style="thin">
        <color theme="3" tint="0.79992065187536243"/>
      </right>
      <top style="thin">
        <color theme="3" tint="0.79992065187536243"/>
      </top>
      <bottom style="thin">
        <color theme="3" tint="0.79992065187536243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rgb="FFC5D9F1"/>
      </left>
      <right style="thin">
        <color rgb="FFC5D9F1"/>
      </right>
      <top style="thin">
        <color rgb="FFC5D9F1"/>
      </top>
      <bottom style="thin">
        <color rgb="FFC5D9F1"/>
      </bottom>
      <diagonal/>
    </border>
  </borders>
  <cellStyleXfs count="1">
    <xf numFmtId="0" fontId="0" fillId="0" borderId="0"/>
  </cellStyleXfs>
  <cellXfs count="373">
    <xf numFmtId="0" fontId="0" fillId="0" borderId="0" xfId="0"/>
    <xf numFmtId="49" fontId="0" fillId="0" borderId="0" xfId="0" applyNumberFormat="1"/>
    <xf numFmtId="0" fontId="0" fillId="2" borderId="0" xfId="0" applyFill="1"/>
    <xf numFmtId="49" fontId="0" fillId="0" borderId="0" xfId="0" applyNumberFormat="1" applyAlignment="1">
      <alignment horizontal="right" vertical="center"/>
    </xf>
    <xf numFmtId="0" fontId="1" fillId="2" borderId="0" xfId="0" applyFont="1" applyFill="1"/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/>
    <xf numFmtId="0" fontId="0" fillId="2" borderId="0" xfId="0" applyFill="1" applyAlignment="1"/>
    <xf numFmtId="0" fontId="1" fillId="2" borderId="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" fillId="4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5" xfId="0" applyFill="1" applyBorder="1"/>
    <xf numFmtId="0" fontId="0" fillId="2" borderId="5" xfId="0" applyFill="1" applyBorder="1" applyAlignment="1">
      <alignment horizontal="center" vertical="center"/>
    </xf>
    <xf numFmtId="49" fontId="0" fillId="0" borderId="0" xfId="0" applyNumberFormat="1" applyAlignment="1">
      <alignment horizontal="right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 applyAlignment="1">
      <alignment horizontal="right"/>
    </xf>
    <xf numFmtId="0" fontId="1" fillId="2" borderId="0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/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/>
    <xf numFmtId="0" fontId="3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1" fillId="3" borderId="1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0" xfId="0" applyFill="1" applyBorder="1" applyAlignment="1"/>
    <xf numFmtId="0" fontId="2" fillId="2" borderId="0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/>
    <xf numFmtId="0" fontId="1" fillId="2" borderId="0" xfId="0" applyFont="1" applyFill="1" applyBorder="1" applyAlignment="1">
      <alignment horizontal="center" vertical="center"/>
    </xf>
    <xf numFmtId="165" fontId="0" fillId="0" borderId="0" xfId="0" applyNumberFormat="1"/>
    <xf numFmtId="1" fontId="0" fillId="0" borderId="0" xfId="0" applyNumberFormat="1" applyAlignment="1">
      <alignment horizontal="right" vertical="center"/>
    </xf>
    <xf numFmtId="0" fontId="0" fillId="0" borderId="0" xfId="0" applyNumberFormat="1"/>
    <xf numFmtId="0" fontId="1" fillId="2" borderId="0" xfId="0" applyFont="1" applyFill="1" applyBorder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/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4" borderId="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/>
    <xf numFmtId="0" fontId="0" fillId="2" borderId="0" xfId="0" applyFill="1" applyAlignment="1"/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49" fontId="0" fillId="5" borderId="0" xfId="0" applyNumberFormat="1" applyFill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right" vertical="center"/>
    </xf>
    <xf numFmtId="0" fontId="1" fillId="2" borderId="0" xfId="0" applyFont="1" applyFill="1" applyBorder="1" applyAlignment="1">
      <alignment horizontal="center" vertical="center"/>
    </xf>
    <xf numFmtId="0" fontId="1" fillId="4" borderId="5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vertical="center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0" borderId="0" xfId="0" quotePrefix="1" applyAlignment="1">
      <alignment horizontal="right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right" vertical="center"/>
    </xf>
    <xf numFmtId="0" fontId="1" fillId="3" borderId="1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0" borderId="0" xfId="0" applyAlignment="1"/>
    <xf numFmtId="0" fontId="0" fillId="5" borderId="0" xfId="0" applyFill="1" applyAlignment="1">
      <alignment horizontal="center" vertical="center"/>
    </xf>
    <xf numFmtId="0" fontId="0" fillId="0" borderId="0" xfId="0" applyFill="1"/>
    <xf numFmtId="0" fontId="0" fillId="0" borderId="0" xfId="0" applyNumberFormat="1" applyAlignment="1">
      <alignment horizontal="right" vertical="center"/>
    </xf>
    <xf numFmtId="0" fontId="0" fillId="5" borderId="0" xfId="0" applyNumberFormat="1" applyFill="1" applyAlignment="1">
      <alignment horizontal="center" vertical="center"/>
    </xf>
    <xf numFmtId="0" fontId="0" fillId="2" borderId="0" xfId="0" applyFill="1" applyAlignment="1"/>
    <xf numFmtId="0" fontId="1" fillId="2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left" vertical="center"/>
    </xf>
    <xf numFmtId="0" fontId="0" fillId="2" borderId="0" xfId="0" applyFill="1" applyAlignment="1"/>
    <xf numFmtId="0" fontId="1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/>
    <xf numFmtId="0" fontId="0" fillId="0" borderId="0" xfId="0" applyAlignment="1">
      <alignment horizontal="left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0" borderId="0" xfId="0" applyAlignment="1">
      <alignment horizontal="right" vertical="center"/>
    </xf>
    <xf numFmtId="0" fontId="8" fillId="0" borderId="0" xfId="0" applyFont="1" applyAlignment="1">
      <alignment horizontal="center"/>
    </xf>
    <xf numFmtId="0" fontId="6" fillId="0" borderId="0" xfId="0" applyFont="1"/>
    <xf numFmtId="49" fontId="0" fillId="5" borderId="0" xfId="0" applyNumberFormat="1" applyFill="1" applyAlignment="1">
      <alignment horizontal="center"/>
    </xf>
    <xf numFmtId="1" fontId="0" fillId="0" borderId="0" xfId="0" applyNumberFormat="1" applyAlignment="1">
      <alignment horizontal="right"/>
    </xf>
    <xf numFmtId="49" fontId="0" fillId="5" borderId="0" xfId="0" applyNumberFormat="1" applyFill="1" applyAlignment="1">
      <alignment horizontal="right"/>
    </xf>
    <xf numFmtId="0" fontId="8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/>
    <xf numFmtId="0" fontId="0" fillId="0" borderId="0" xfId="0" applyAlignment="1"/>
    <xf numFmtId="0" fontId="1" fillId="2" borderId="0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" fontId="0" fillId="0" borderId="0" xfId="0" applyNumberFormat="1"/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9" fontId="0" fillId="5" borderId="0" xfId="0" applyNumberFormat="1" applyFill="1"/>
    <xf numFmtId="0" fontId="0" fillId="5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0" borderId="0" xfId="0" applyFont="1"/>
    <xf numFmtId="0" fontId="0" fillId="5" borderId="0" xfId="0" applyFill="1"/>
    <xf numFmtId="49" fontId="0" fillId="0" borderId="0" xfId="0" applyNumberFormat="1" applyFill="1" applyAlignment="1">
      <alignment horizontal="right"/>
    </xf>
    <xf numFmtId="0" fontId="1" fillId="2" borderId="0" xfId="0" applyFont="1" applyFill="1" applyAlignment="1"/>
    <xf numFmtId="0" fontId="0" fillId="2" borderId="0" xfId="0" applyFill="1" applyAlignment="1"/>
    <xf numFmtId="0" fontId="1" fillId="2" borderId="0" xfId="0" applyFont="1" applyFill="1" applyAlignment="1">
      <alignment vertical="center"/>
    </xf>
    <xf numFmtId="0" fontId="0" fillId="0" borderId="0" xfId="0" applyAlignment="1">
      <alignment horizontal="right" vertical="center"/>
    </xf>
    <xf numFmtId="0" fontId="0" fillId="5" borderId="0" xfId="0" applyFill="1" applyAlignment="1">
      <alignment horizontal="center" vertical="center"/>
    </xf>
    <xf numFmtId="0" fontId="1" fillId="2" borderId="0" xfId="0" applyFont="1" applyFill="1" applyAlignment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9" xfId="0" quotePrefix="1" applyFont="1" applyFill="1" applyBorder="1" applyAlignment="1">
      <alignment horizontal="center" vertical="center"/>
    </xf>
    <xf numFmtId="0" fontId="10" fillId="0" borderId="19" xfId="0" applyFont="1" applyBorder="1" applyAlignment="1">
      <alignment horizontal="left" vertical="center"/>
    </xf>
    <xf numFmtId="0" fontId="10" fillId="0" borderId="19" xfId="0" applyFont="1" applyBorder="1" applyAlignment="1">
      <alignment horizontal="center" vertical="center"/>
    </xf>
    <xf numFmtId="0" fontId="10" fillId="0" borderId="19" xfId="0" quotePrefix="1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49" fontId="10" fillId="0" borderId="19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10" fillId="3" borderId="19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5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0" fillId="2" borderId="0" xfId="0" applyFill="1" applyAlignment="1"/>
    <xf numFmtId="0" fontId="1" fillId="2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0" xfId="0" applyNumberFormat="1" applyFill="1" applyBorder="1"/>
    <xf numFmtId="0" fontId="0" fillId="5" borderId="0" xfId="0" applyFill="1" applyAlignment="1">
      <alignment horizontal="center" vertical="center"/>
    </xf>
    <xf numFmtId="0" fontId="0" fillId="0" borderId="0" xfId="0" applyNumberForma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49" fontId="0" fillId="5" borderId="0" xfId="0" applyNumberFormat="1" applyFill="1" applyAlignment="1">
      <alignment horizontal="right" vertical="center"/>
    </xf>
    <xf numFmtId="0" fontId="10" fillId="3" borderId="25" xfId="0" applyFont="1" applyFill="1" applyBorder="1" applyAlignment="1"/>
    <xf numFmtId="49" fontId="10" fillId="3" borderId="25" xfId="0" applyNumberFormat="1" applyFont="1" applyFill="1" applyBorder="1" applyAlignment="1">
      <alignment horizontal="center" vertical="center"/>
    </xf>
    <xf numFmtId="0" fontId="10" fillId="3" borderId="25" xfId="0" quotePrefix="1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left" vertical="center"/>
    </xf>
    <xf numFmtId="0" fontId="10" fillId="0" borderId="19" xfId="0" applyFont="1" applyBorder="1" applyAlignment="1">
      <alignment horizontal="center" vertical="center"/>
    </xf>
    <xf numFmtId="0" fontId="10" fillId="0" borderId="19" xfId="0" quotePrefix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right"/>
    </xf>
    <xf numFmtId="0" fontId="10" fillId="0" borderId="0" xfId="0" applyFont="1" applyAlignment="1">
      <alignment horizontal="left" vertical="center"/>
    </xf>
    <xf numFmtId="0" fontId="1" fillId="6" borderId="39" xfId="0" applyFont="1" applyFill="1" applyBorder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/>
    <xf numFmtId="0" fontId="0" fillId="2" borderId="0" xfId="0" applyFill="1" applyAlignment="1"/>
    <xf numFmtId="0" fontId="1" fillId="2" borderId="14" xfId="0" applyNumberFormat="1" applyFont="1" applyFill="1" applyBorder="1" applyAlignment="1">
      <alignment horizontal="center" vertical="center"/>
    </xf>
    <xf numFmtId="0" fontId="0" fillId="2" borderId="15" xfId="0" applyFill="1" applyBorder="1" applyAlignment="1"/>
    <xf numFmtId="0" fontId="1" fillId="2" borderId="0" xfId="0" applyNumberFormat="1" applyFont="1" applyFill="1" applyAlignment="1">
      <alignment horizontal="right" vertical="center"/>
    </xf>
    <xf numFmtId="0" fontId="0" fillId="0" borderId="0" xfId="0" applyNumberFormat="1" applyAlignment="1">
      <alignment vertical="center"/>
    </xf>
    <xf numFmtId="0" fontId="2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2" fillId="2" borderId="13" xfId="0" applyFont="1" applyFill="1" applyBorder="1" applyAlignment="1">
      <alignment horizontal="center" vertical="center"/>
    </xf>
    <xf numFmtId="0" fontId="0" fillId="0" borderId="13" xfId="0" applyBorder="1" applyAlignment="1"/>
    <xf numFmtId="0" fontId="0" fillId="0" borderId="0" xfId="0" applyAlignment="1"/>
    <xf numFmtId="0" fontId="0" fillId="0" borderId="8" xfId="0" applyBorder="1" applyAlignment="1"/>
    <xf numFmtId="0" fontId="1" fillId="2" borderId="7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Alignment="1"/>
    <xf numFmtId="164" fontId="1" fillId="3" borderId="2" xfId="0" applyNumberFormat="1" applyFont="1" applyFill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0" fontId="1" fillId="3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horizontal="center" vertical="center"/>
    </xf>
    <xf numFmtId="164" fontId="1" fillId="3" borderId="18" xfId="0" applyNumberFormat="1" applyFont="1" applyFill="1" applyBorder="1" applyAlignment="1">
      <alignment horizontal="center" vertical="center"/>
    </xf>
    <xf numFmtId="164" fontId="0" fillId="3" borderId="16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 applyBorder="1" applyAlignment="1">
      <alignment horizontal="right" vertical="center"/>
    </xf>
    <xf numFmtId="0" fontId="1" fillId="0" borderId="0" xfId="0" applyFont="1" applyAlignment="1">
      <alignment horizontal="center"/>
    </xf>
    <xf numFmtId="0" fontId="1" fillId="2" borderId="0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0" fillId="0" borderId="19" xfId="0" quotePrefix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0" borderId="19" xfId="0" applyFont="1" applyBorder="1" applyAlignment="1">
      <alignment horizontal="left" vertical="center" wrapText="1"/>
    </xf>
    <xf numFmtId="0" fontId="0" fillId="0" borderId="19" xfId="0" applyBorder="1" applyAlignment="1">
      <alignment horizontal="left" vertical="center"/>
    </xf>
    <xf numFmtId="0" fontId="10" fillId="0" borderId="23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19" xfId="0" applyBorder="1" applyAlignment="1">
      <alignment horizontal="left" vertical="center" wrapText="1"/>
    </xf>
    <xf numFmtId="0" fontId="10" fillId="3" borderId="23" xfId="0" applyFont="1" applyFill="1" applyBorder="1" applyAlignment="1">
      <alignment horizontal="left" vertical="center" wrapText="1"/>
    </xf>
    <xf numFmtId="0" fontId="0" fillId="3" borderId="24" xfId="0" applyFill="1" applyBorder="1" applyAlignment="1">
      <alignment horizontal="left" vertical="center" wrapText="1"/>
    </xf>
    <xf numFmtId="0" fontId="0" fillId="3" borderId="25" xfId="0" applyFill="1" applyBorder="1" applyAlignment="1"/>
    <xf numFmtId="0" fontId="10" fillId="3" borderId="23" xfId="0" applyFont="1" applyFill="1" applyBorder="1" applyAlignment="1">
      <alignment horizontal="center" vertical="center" wrapText="1"/>
    </xf>
    <xf numFmtId="0" fontId="0" fillId="3" borderId="24" xfId="0" applyFill="1" applyBorder="1" applyAlignment="1">
      <alignment horizontal="center" vertical="center" wrapText="1"/>
    </xf>
    <xf numFmtId="0" fontId="10" fillId="3" borderId="23" xfId="0" quotePrefix="1" applyFont="1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0" fontId="0" fillId="3" borderId="25" xfId="0" applyFill="1" applyBorder="1" applyAlignment="1">
      <alignment horizontal="left" vertical="center"/>
    </xf>
    <xf numFmtId="0" fontId="10" fillId="3" borderId="23" xfId="0" applyFont="1" applyFill="1" applyBorder="1" applyAlignment="1">
      <alignment horizontal="center" vertical="center"/>
    </xf>
    <xf numFmtId="49" fontId="10" fillId="3" borderId="23" xfId="0" applyNumberFormat="1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10" fillId="3" borderId="29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 vertical="center" wrapText="1"/>
    </xf>
    <xf numFmtId="0" fontId="0" fillId="3" borderId="32" xfId="0" applyFill="1" applyBorder="1" applyAlignment="1">
      <alignment horizontal="center" vertical="center" wrapText="1"/>
    </xf>
    <xf numFmtId="0" fontId="0" fillId="3" borderId="33" xfId="0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left" vertical="center"/>
    </xf>
    <xf numFmtId="0" fontId="5" fillId="3" borderId="25" xfId="0" applyFont="1" applyFill="1" applyBorder="1" applyAlignment="1">
      <alignment horizontal="center" vertical="center" wrapText="1"/>
    </xf>
    <xf numFmtId="0" fontId="5" fillId="3" borderId="24" xfId="0" applyNumberFormat="1" applyFont="1" applyFill="1" applyBorder="1" applyAlignment="1">
      <alignment horizontal="center" vertical="center"/>
    </xf>
    <xf numFmtId="0" fontId="5" fillId="3" borderId="25" xfId="0" applyNumberFormat="1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vertical="center"/>
    </xf>
    <xf numFmtId="0" fontId="10" fillId="3" borderId="25" xfId="0" applyFont="1" applyFill="1" applyBorder="1" applyAlignment="1">
      <alignment horizontal="center" vertical="center" wrapText="1"/>
    </xf>
    <xf numFmtId="1" fontId="10" fillId="3" borderId="19" xfId="0" applyNumberFormat="1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 wrapText="1"/>
    </xf>
    <xf numFmtId="0" fontId="10" fillId="3" borderId="30" xfId="0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vertical="center"/>
    </xf>
    <xf numFmtId="0" fontId="10" fillId="3" borderId="21" xfId="0" applyFont="1" applyFill="1" applyBorder="1" applyAlignment="1">
      <alignment vertical="center"/>
    </xf>
    <xf numFmtId="0" fontId="10" fillId="3" borderId="22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3" borderId="19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/>
    </xf>
    <xf numFmtId="49" fontId="10" fillId="3" borderId="19" xfId="0" applyNumberFormat="1" applyFont="1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 wrapText="1"/>
    </xf>
    <xf numFmtId="0" fontId="10" fillId="0" borderId="20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5" fillId="3" borderId="23" xfId="0" applyFont="1" applyFill="1" applyBorder="1" applyAlignment="1"/>
    <xf numFmtId="0" fontId="5" fillId="3" borderId="24" xfId="0" applyFont="1" applyFill="1" applyBorder="1" applyAlignment="1"/>
    <xf numFmtId="0" fontId="5" fillId="3" borderId="25" xfId="0" applyFont="1" applyFill="1" applyBorder="1" applyAlignment="1"/>
    <xf numFmtId="0" fontId="5" fillId="3" borderId="31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right"/>
    </xf>
    <xf numFmtId="0" fontId="0" fillId="5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0" xfId="0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wrapText="1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37.emf"/><Relationship Id="rId26" Type="http://schemas.openxmlformats.org/officeDocument/2006/relationships/image" Target="../media/image43.emf"/><Relationship Id="rId39" Type="http://schemas.openxmlformats.org/officeDocument/2006/relationships/image" Target="../media/image52.emf"/><Relationship Id="rId21" Type="http://schemas.openxmlformats.org/officeDocument/2006/relationships/image" Target="../media/image40.emf"/><Relationship Id="rId34" Type="http://schemas.openxmlformats.org/officeDocument/2006/relationships/image" Target="../media/image47.emf"/><Relationship Id="rId42" Type="http://schemas.openxmlformats.org/officeDocument/2006/relationships/image" Target="../media/image12.emf"/><Relationship Id="rId47" Type="http://schemas.openxmlformats.org/officeDocument/2006/relationships/image" Target="../media/image56.emf"/><Relationship Id="rId50" Type="http://schemas.openxmlformats.org/officeDocument/2006/relationships/image" Target="../media/image8.emf"/><Relationship Id="rId55" Type="http://schemas.openxmlformats.org/officeDocument/2006/relationships/image" Target="../media/image3.emf"/><Relationship Id="rId7" Type="http://schemas.openxmlformats.org/officeDocument/2006/relationships/image" Target="../media/image23.emf"/><Relationship Id="rId12" Type="http://schemas.openxmlformats.org/officeDocument/2006/relationships/image" Target="../media/image22.emf"/><Relationship Id="rId17" Type="http://schemas.openxmlformats.org/officeDocument/2006/relationships/image" Target="../media/image36.emf"/><Relationship Id="rId25" Type="http://schemas.openxmlformats.org/officeDocument/2006/relationships/image" Target="../media/image18.emf"/><Relationship Id="rId33" Type="http://schemas.openxmlformats.org/officeDocument/2006/relationships/image" Target="../media/image46.emf"/><Relationship Id="rId38" Type="http://schemas.openxmlformats.org/officeDocument/2006/relationships/image" Target="../media/image51.emf"/><Relationship Id="rId46" Type="http://schemas.openxmlformats.org/officeDocument/2006/relationships/image" Target="../media/image55.emf"/><Relationship Id="rId2" Type="http://schemas.openxmlformats.org/officeDocument/2006/relationships/image" Target="../media/image28.emf"/><Relationship Id="rId16" Type="http://schemas.openxmlformats.org/officeDocument/2006/relationships/image" Target="../media/image35.emf"/><Relationship Id="rId20" Type="http://schemas.openxmlformats.org/officeDocument/2006/relationships/image" Target="../media/image39.emf"/><Relationship Id="rId29" Type="http://schemas.openxmlformats.org/officeDocument/2006/relationships/image" Target="../media/image15.emf"/><Relationship Id="rId41" Type="http://schemas.openxmlformats.org/officeDocument/2006/relationships/image" Target="../media/image13.emf"/><Relationship Id="rId54" Type="http://schemas.openxmlformats.org/officeDocument/2006/relationships/image" Target="../media/image4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11" Type="http://schemas.openxmlformats.org/officeDocument/2006/relationships/image" Target="../media/image33.emf"/><Relationship Id="rId24" Type="http://schemas.openxmlformats.org/officeDocument/2006/relationships/image" Target="../media/image19.emf"/><Relationship Id="rId32" Type="http://schemas.openxmlformats.org/officeDocument/2006/relationships/image" Target="../media/image45.emf"/><Relationship Id="rId37" Type="http://schemas.openxmlformats.org/officeDocument/2006/relationships/image" Target="../media/image50.emf"/><Relationship Id="rId40" Type="http://schemas.openxmlformats.org/officeDocument/2006/relationships/image" Target="../media/image53.emf"/><Relationship Id="rId45" Type="http://schemas.openxmlformats.org/officeDocument/2006/relationships/image" Target="../media/image54.emf"/><Relationship Id="rId53" Type="http://schemas.openxmlformats.org/officeDocument/2006/relationships/image" Target="../media/image5.emf"/><Relationship Id="rId5" Type="http://schemas.openxmlformats.org/officeDocument/2006/relationships/image" Target="../media/image25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16.emf"/><Relationship Id="rId36" Type="http://schemas.openxmlformats.org/officeDocument/2006/relationships/image" Target="../media/image49.emf"/><Relationship Id="rId49" Type="http://schemas.openxmlformats.org/officeDocument/2006/relationships/image" Target="../media/image9.emf"/><Relationship Id="rId57" Type="http://schemas.openxmlformats.org/officeDocument/2006/relationships/image" Target="../media/image1.emf"/><Relationship Id="rId10" Type="http://schemas.openxmlformats.org/officeDocument/2006/relationships/image" Target="../media/image32.emf"/><Relationship Id="rId19" Type="http://schemas.openxmlformats.org/officeDocument/2006/relationships/image" Target="../media/image38.emf"/><Relationship Id="rId31" Type="http://schemas.openxmlformats.org/officeDocument/2006/relationships/image" Target="../media/image44.emf"/><Relationship Id="rId44" Type="http://schemas.openxmlformats.org/officeDocument/2006/relationships/image" Target="../media/image10.emf"/><Relationship Id="rId52" Type="http://schemas.openxmlformats.org/officeDocument/2006/relationships/image" Target="../media/image6.emf"/><Relationship Id="rId4" Type="http://schemas.openxmlformats.org/officeDocument/2006/relationships/image" Target="../media/image26.emf"/><Relationship Id="rId9" Type="http://schemas.openxmlformats.org/officeDocument/2006/relationships/image" Target="../media/image31.emf"/><Relationship Id="rId14" Type="http://schemas.openxmlformats.org/officeDocument/2006/relationships/image" Target="../media/image20.emf"/><Relationship Id="rId22" Type="http://schemas.openxmlformats.org/officeDocument/2006/relationships/image" Target="../media/image41.emf"/><Relationship Id="rId27" Type="http://schemas.openxmlformats.org/officeDocument/2006/relationships/image" Target="../media/image17.emf"/><Relationship Id="rId30" Type="http://schemas.openxmlformats.org/officeDocument/2006/relationships/image" Target="../media/image14.emf"/><Relationship Id="rId35" Type="http://schemas.openxmlformats.org/officeDocument/2006/relationships/image" Target="../media/image48.emf"/><Relationship Id="rId43" Type="http://schemas.openxmlformats.org/officeDocument/2006/relationships/image" Target="../media/image11.emf"/><Relationship Id="rId48" Type="http://schemas.openxmlformats.org/officeDocument/2006/relationships/image" Target="../media/image57.emf"/><Relationship Id="rId56" Type="http://schemas.openxmlformats.org/officeDocument/2006/relationships/image" Target="../media/image2.emf"/><Relationship Id="rId8" Type="http://schemas.openxmlformats.org/officeDocument/2006/relationships/image" Target="../media/image30.emf"/><Relationship Id="rId51" Type="http://schemas.openxmlformats.org/officeDocument/2006/relationships/image" Target="../media/image7.emf"/><Relationship Id="rId3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8</xdr:row>
          <xdr:rowOff>0</xdr:rowOff>
        </xdr:from>
        <xdr:to>
          <xdr:col>2</xdr:col>
          <xdr:colOff>152400</xdr:colOff>
          <xdr:row>9</xdr:row>
          <xdr:rowOff>19050</xdr:rowOff>
        </xdr:to>
        <xdr:sp macro="" textlink="">
          <xdr:nvSpPr>
            <xdr:cNvPr id="1029" name="main_btn_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8</xdr:row>
          <xdr:rowOff>0</xdr:rowOff>
        </xdr:from>
        <xdr:to>
          <xdr:col>3</xdr:col>
          <xdr:colOff>209550</xdr:colOff>
          <xdr:row>9</xdr:row>
          <xdr:rowOff>19050</xdr:rowOff>
        </xdr:to>
        <xdr:sp macro="" textlink="">
          <xdr:nvSpPr>
            <xdr:cNvPr id="1031" name="main_btn_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257175</xdr:colOff>
          <xdr:row>8</xdr:row>
          <xdr:rowOff>0</xdr:rowOff>
        </xdr:from>
        <xdr:to>
          <xdr:col>4</xdr:col>
          <xdr:colOff>314325</xdr:colOff>
          <xdr:row>9</xdr:row>
          <xdr:rowOff>19050</xdr:rowOff>
        </xdr:to>
        <xdr:sp macro="" textlink="">
          <xdr:nvSpPr>
            <xdr:cNvPr id="1034" name="main_btn_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8</xdr:row>
          <xdr:rowOff>0</xdr:rowOff>
        </xdr:from>
        <xdr:to>
          <xdr:col>5</xdr:col>
          <xdr:colOff>428625</xdr:colOff>
          <xdr:row>9</xdr:row>
          <xdr:rowOff>19050</xdr:rowOff>
        </xdr:to>
        <xdr:sp macro="" textlink="">
          <xdr:nvSpPr>
            <xdr:cNvPr id="1035" name="main_btn_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476250</xdr:colOff>
          <xdr:row>8</xdr:row>
          <xdr:rowOff>0</xdr:rowOff>
        </xdr:from>
        <xdr:to>
          <xdr:col>6</xdr:col>
          <xdr:colOff>400050</xdr:colOff>
          <xdr:row>9</xdr:row>
          <xdr:rowOff>19050</xdr:rowOff>
        </xdr:to>
        <xdr:sp macro="" textlink="">
          <xdr:nvSpPr>
            <xdr:cNvPr id="1036" name="main_btn_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457200</xdr:colOff>
          <xdr:row>8</xdr:row>
          <xdr:rowOff>9525</xdr:rowOff>
        </xdr:from>
        <xdr:to>
          <xdr:col>7</xdr:col>
          <xdr:colOff>419100</xdr:colOff>
          <xdr:row>9</xdr:row>
          <xdr:rowOff>28575</xdr:rowOff>
        </xdr:to>
        <xdr:sp macro="" textlink="">
          <xdr:nvSpPr>
            <xdr:cNvPr id="1038" name="main_btn_6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8</xdr:row>
          <xdr:rowOff>19050</xdr:rowOff>
        </xdr:from>
        <xdr:to>
          <xdr:col>8</xdr:col>
          <xdr:colOff>247650</xdr:colOff>
          <xdr:row>9</xdr:row>
          <xdr:rowOff>28575</xdr:rowOff>
        </xdr:to>
        <xdr:sp macro="" textlink="">
          <xdr:nvSpPr>
            <xdr:cNvPr id="1039" name="main_btn_7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8</xdr:row>
          <xdr:rowOff>19050</xdr:rowOff>
        </xdr:from>
        <xdr:to>
          <xdr:col>9</xdr:col>
          <xdr:colOff>171450</xdr:colOff>
          <xdr:row>9</xdr:row>
          <xdr:rowOff>38100</xdr:rowOff>
        </xdr:to>
        <xdr:sp macro="" textlink="">
          <xdr:nvSpPr>
            <xdr:cNvPr id="1041" name="main_btn_8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8</xdr:row>
          <xdr:rowOff>19050</xdr:rowOff>
        </xdr:from>
        <xdr:to>
          <xdr:col>9</xdr:col>
          <xdr:colOff>990600</xdr:colOff>
          <xdr:row>9</xdr:row>
          <xdr:rowOff>38100</xdr:rowOff>
        </xdr:to>
        <xdr:sp macro="" textlink="">
          <xdr:nvSpPr>
            <xdr:cNvPr id="1043" name="main_btn_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647700</xdr:colOff>
          <xdr:row>7</xdr:row>
          <xdr:rowOff>19050</xdr:rowOff>
        </xdr:to>
        <xdr:sp macro="" textlink="">
          <xdr:nvSpPr>
            <xdr:cNvPr id="1045" name="header_btn_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219075</xdr:rowOff>
        </xdr:from>
        <xdr:to>
          <xdr:col>5</xdr:col>
          <xdr:colOff>533400</xdr:colOff>
          <xdr:row>10</xdr:row>
          <xdr:rowOff>238125</xdr:rowOff>
        </xdr:to>
        <xdr:sp macro="" textlink="">
          <xdr:nvSpPr>
            <xdr:cNvPr id="1047" name="box_btn_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11</xdr:row>
          <xdr:rowOff>76200</xdr:rowOff>
        </xdr:from>
        <xdr:to>
          <xdr:col>4</xdr:col>
          <xdr:colOff>438150</xdr:colOff>
          <xdr:row>13</xdr:row>
          <xdr:rowOff>0</xdr:rowOff>
        </xdr:to>
        <xdr:sp macro="" textlink="">
          <xdr:nvSpPr>
            <xdr:cNvPr id="1058" name="box_btn_3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12</xdr:row>
          <xdr:rowOff>0</xdr:rowOff>
        </xdr:from>
        <xdr:to>
          <xdr:col>9</xdr:col>
          <xdr:colOff>800100</xdr:colOff>
          <xdr:row>13</xdr:row>
          <xdr:rowOff>19050</xdr:rowOff>
        </xdr:to>
        <xdr:sp macro="" textlink="">
          <xdr:nvSpPr>
            <xdr:cNvPr id="1059" name="box_btn_4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0</xdr:rowOff>
        </xdr:from>
        <xdr:to>
          <xdr:col>12</xdr:col>
          <xdr:colOff>114300</xdr:colOff>
          <xdr:row>13</xdr:row>
          <xdr:rowOff>19050</xdr:rowOff>
        </xdr:to>
        <xdr:sp macro="" textlink="">
          <xdr:nvSpPr>
            <xdr:cNvPr id="1062" name="box_btn_5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419100</xdr:colOff>
          <xdr:row>11</xdr:row>
          <xdr:rowOff>76200</xdr:rowOff>
        </xdr:from>
        <xdr:to>
          <xdr:col>8</xdr:col>
          <xdr:colOff>180975</xdr:colOff>
          <xdr:row>13</xdr:row>
          <xdr:rowOff>19050</xdr:rowOff>
        </xdr:to>
        <xdr:sp macro="" textlink="">
          <xdr:nvSpPr>
            <xdr:cNvPr id="1065" name="box_btn_6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12</xdr:row>
          <xdr:rowOff>0</xdr:rowOff>
        </xdr:from>
        <xdr:to>
          <xdr:col>12</xdr:col>
          <xdr:colOff>762000</xdr:colOff>
          <xdr:row>13</xdr:row>
          <xdr:rowOff>19050</xdr:rowOff>
        </xdr:to>
        <xdr:sp macro="" textlink="">
          <xdr:nvSpPr>
            <xdr:cNvPr id="1066" name="box_btn_7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13</xdr:row>
          <xdr:rowOff>85725</xdr:rowOff>
        </xdr:from>
        <xdr:to>
          <xdr:col>9</xdr:col>
          <xdr:colOff>38100</xdr:colOff>
          <xdr:row>15</xdr:row>
          <xdr:rowOff>19050</xdr:rowOff>
        </xdr:to>
        <xdr:sp macro="" textlink="">
          <xdr:nvSpPr>
            <xdr:cNvPr id="1067" name="box_btn_8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95250</xdr:colOff>
          <xdr:row>14</xdr:row>
          <xdr:rowOff>0</xdr:rowOff>
        </xdr:from>
        <xdr:to>
          <xdr:col>14</xdr:col>
          <xdr:colOff>180975</xdr:colOff>
          <xdr:row>15</xdr:row>
          <xdr:rowOff>28575</xdr:rowOff>
        </xdr:to>
        <xdr:sp macro="" textlink="">
          <xdr:nvSpPr>
            <xdr:cNvPr id="1068" name="box_btn_9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40</xdr:row>
          <xdr:rowOff>76200</xdr:rowOff>
        </xdr:from>
        <xdr:to>
          <xdr:col>8</xdr:col>
          <xdr:colOff>742950</xdr:colOff>
          <xdr:row>42</xdr:row>
          <xdr:rowOff>9525</xdr:rowOff>
        </xdr:to>
        <xdr:sp macro="" textlink="">
          <xdr:nvSpPr>
            <xdr:cNvPr id="1074" name="fl_btn_2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3</xdr:col>
          <xdr:colOff>523875</xdr:colOff>
          <xdr:row>40</xdr:row>
          <xdr:rowOff>19050</xdr:rowOff>
        </xdr:to>
        <xdr:sp macro="" textlink="">
          <xdr:nvSpPr>
            <xdr:cNvPr id="1091" name="fl_main_btn_1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39</xdr:row>
          <xdr:rowOff>0</xdr:rowOff>
        </xdr:from>
        <xdr:to>
          <xdr:col>6</xdr:col>
          <xdr:colOff>66675</xdr:colOff>
          <xdr:row>40</xdr:row>
          <xdr:rowOff>19050</xdr:rowOff>
        </xdr:to>
        <xdr:sp macro="" textlink="">
          <xdr:nvSpPr>
            <xdr:cNvPr id="1092" name="fl_main_btn_2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39</xdr:row>
          <xdr:rowOff>9525</xdr:rowOff>
        </xdr:from>
        <xdr:to>
          <xdr:col>8</xdr:col>
          <xdr:colOff>723900</xdr:colOff>
          <xdr:row>40</xdr:row>
          <xdr:rowOff>38100</xdr:rowOff>
        </xdr:to>
        <xdr:sp macro="" textlink="">
          <xdr:nvSpPr>
            <xdr:cNvPr id="1093" name="fl_main_btn_3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40</xdr:row>
          <xdr:rowOff>85725</xdr:rowOff>
        </xdr:from>
        <xdr:to>
          <xdr:col>4</xdr:col>
          <xdr:colOff>142875</xdr:colOff>
          <xdr:row>42</xdr:row>
          <xdr:rowOff>9525</xdr:rowOff>
        </xdr:to>
        <xdr:sp macro="" textlink="">
          <xdr:nvSpPr>
            <xdr:cNvPr id="1094" name="fl_btn_1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40</xdr:row>
          <xdr:rowOff>85725</xdr:rowOff>
        </xdr:from>
        <xdr:to>
          <xdr:col>10</xdr:col>
          <xdr:colOff>790575</xdr:colOff>
          <xdr:row>42</xdr:row>
          <xdr:rowOff>9525</xdr:rowOff>
        </xdr:to>
        <xdr:sp macro="" textlink="">
          <xdr:nvSpPr>
            <xdr:cNvPr id="1125" name="fl_btn_3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51</xdr:row>
          <xdr:rowOff>228600</xdr:rowOff>
        </xdr:from>
        <xdr:to>
          <xdr:col>4</xdr:col>
          <xdr:colOff>371475</xdr:colOff>
          <xdr:row>53</xdr:row>
          <xdr:rowOff>9525</xdr:rowOff>
        </xdr:to>
        <xdr:sp macro="" textlink="">
          <xdr:nvSpPr>
            <xdr:cNvPr id="1126" name="tube_btn_1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866775</xdr:colOff>
          <xdr:row>40</xdr:row>
          <xdr:rowOff>85725</xdr:rowOff>
        </xdr:from>
        <xdr:to>
          <xdr:col>12</xdr:col>
          <xdr:colOff>676275</xdr:colOff>
          <xdr:row>42</xdr:row>
          <xdr:rowOff>9525</xdr:rowOff>
        </xdr:to>
        <xdr:sp macro="" textlink="">
          <xdr:nvSpPr>
            <xdr:cNvPr id="1098" name="fl_btn_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866775</xdr:colOff>
          <xdr:row>42</xdr:row>
          <xdr:rowOff>38100</xdr:rowOff>
        </xdr:from>
        <xdr:to>
          <xdr:col>12</xdr:col>
          <xdr:colOff>685800</xdr:colOff>
          <xdr:row>44</xdr:row>
          <xdr:rowOff>19050</xdr:rowOff>
        </xdr:to>
        <xdr:sp macro="" textlink="">
          <xdr:nvSpPr>
            <xdr:cNvPr id="1099" name="fl_btn_9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42</xdr:row>
          <xdr:rowOff>38100</xdr:rowOff>
        </xdr:from>
        <xdr:to>
          <xdr:col>4</xdr:col>
          <xdr:colOff>152400</xdr:colOff>
          <xdr:row>44</xdr:row>
          <xdr:rowOff>19050</xdr:rowOff>
        </xdr:to>
        <xdr:sp macro="" textlink="">
          <xdr:nvSpPr>
            <xdr:cNvPr id="1134" name="fl_btn_5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54</xdr:row>
          <xdr:rowOff>0</xdr:rowOff>
        </xdr:from>
        <xdr:to>
          <xdr:col>9</xdr:col>
          <xdr:colOff>561975</xdr:colOff>
          <xdr:row>57</xdr:row>
          <xdr:rowOff>9525</xdr:rowOff>
        </xdr:to>
        <xdr:sp macro="" textlink="">
          <xdr:nvSpPr>
            <xdr:cNvPr id="1143" name="tube_btn_3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</xdr:colOff>
          <xdr:row>9</xdr:row>
          <xdr:rowOff>238125</xdr:rowOff>
        </xdr:from>
        <xdr:to>
          <xdr:col>11</xdr:col>
          <xdr:colOff>647700</xdr:colOff>
          <xdr:row>11</xdr:row>
          <xdr:rowOff>9525</xdr:rowOff>
        </xdr:to>
        <xdr:sp macro="" textlink="">
          <xdr:nvSpPr>
            <xdr:cNvPr id="1148" name="box_btn_2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46</xdr:row>
          <xdr:rowOff>76200</xdr:rowOff>
        </xdr:from>
        <xdr:to>
          <xdr:col>5</xdr:col>
          <xdr:colOff>619125</xdr:colOff>
          <xdr:row>48</xdr:row>
          <xdr:rowOff>0</xdr:rowOff>
        </xdr:to>
        <xdr:sp macro="" textlink="">
          <xdr:nvSpPr>
            <xdr:cNvPr id="1149" name="fl_btn_1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49</xdr:row>
          <xdr:rowOff>0</xdr:rowOff>
        </xdr:from>
        <xdr:to>
          <xdr:col>5</xdr:col>
          <xdr:colOff>0</xdr:colOff>
          <xdr:row>51</xdr:row>
          <xdr:rowOff>19050</xdr:rowOff>
        </xdr:to>
        <xdr:sp macro="" textlink="">
          <xdr:nvSpPr>
            <xdr:cNvPr id="1150" name="fl_btn_18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53</xdr:row>
          <xdr:rowOff>38100</xdr:rowOff>
        </xdr:from>
        <xdr:to>
          <xdr:col>13</xdr:col>
          <xdr:colOff>628650</xdr:colOff>
          <xdr:row>57</xdr:row>
          <xdr:rowOff>0</xdr:rowOff>
        </xdr:to>
        <xdr:sp macro="" textlink="">
          <xdr:nvSpPr>
            <xdr:cNvPr id="1156" name="tube_btn_4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54</xdr:row>
          <xdr:rowOff>0</xdr:rowOff>
        </xdr:from>
        <xdr:to>
          <xdr:col>7</xdr:col>
          <xdr:colOff>781050</xdr:colOff>
          <xdr:row>57</xdr:row>
          <xdr:rowOff>9525</xdr:rowOff>
        </xdr:to>
        <xdr:sp macro="" textlink="">
          <xdr:nvSpPr>
            <xdr:cNvPr id="1157" name="tube_btn_2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65</xdr:row>
          <xdr:rowOff>209550</xdr:rowOff>
        </xdr:from>
        <xdr:to>
          <xdr:col>2</xdr:col>
          <xdr:colOff>628650</xdr:colOff>
          <xdr:row>67</xdr:row>
          <xdr:rowOff>19050</xdr:rowOff>
        </xdr:to>
        <xdr:sp macro="" textlink="">
          <xdr:nvSpPr>
            <xdr:cNvPr id="1158" name="dop_btn_1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65</xdr:row>
          <xdr:rowOff>209550</xdr:rowOff>
        </xdr:from>
        <xdr:to>
          <xdr:col>6</xdr:col>
          <xdr:colOff>542925</xdr:colOff>
          <xdr:row>67</xdr:row>
          <xdr:rowOff>19050</xdr:rowOff>
        </xdr:to>
        <xdr:sp macro="" textlink="">
          <xdr:nvSpPr>
            <xdr:cNvPr id="1160" name="dop_btn_3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65</xdr:row>
          <xdr:rowOff>209550</xdr:rowOff>
        </xdr:from>
        <xdr:to>
          <xdr:col>4</xdr:col>
          <xdr:colOff>581025</xdr:colOff>
          <xdr:row>67</xdr:row>
          <xdr:rowOff>19050</xdr:rowOff>
        </xdr:to>
        <xdr:sp macro="" textlink="">
          <xdr:nvSpPr>
            <xdr:cNvPr id="1161" name="dop_btn_2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65</xdr:row>
          <xdr:rowOff>209550</xdr:rowOff>
        </xdr:from>
        <xdr:to>
          <xdr:col>8</xdr:col>
          <xdr:colOff>438150</xdr:colOff>
          <xdr:row>67</xdr:row>
          <xdr:rowOff>19050</xdr:rowOff>
        </xdr:to>
        <xdr:sp macro="" textlink="">
          <xdr:nvSpPr>
            <xdr:cNvPr id="1162" name="dop_btn_4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57</xdr:row>
          <xdr:rowOff>228600</xdr:rowOff>
        </xdr:from>
        <xdr:to>
          <xdr:col>5</xdr:col>
          <xdr:colOff>85725</xdr:colOff>
          <xdr:row>59</xdr:row>
          <xdr:rowOff>9525</xdr:rowOff>
        </xdr:to>
        <xdr:sp macro="" textlink="">
          <xdr:nvSpPr>
            <xdr:cNvPr id="1163" name="zip_btn_2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57</xdr:row>
          <xdr:rowOff>228600</xdr:rowOff>
        </xdr:from>
        <xdr:to>
          <xdr:col>7</xdr:col>
          <xdr:colOff>657225</xdr:colOff>
          <xdr:row>59</xdr:row>
          <xdr:rowOff>9525</xdr:rowOff>
        </xdr:to>
        <xdr:sp macro="" textlink="">
          <xdr:nvSpPr>
            <xdr:cNvPr id="1164" name="zip_btn_3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57</xdr:row>
          <xdr:rowOff>228600</xdr:rowOff>
        </xdr:from>
        <xdr:to>
          <xdr:col>2</xdr:col>
          <xdr:colOff>276225</xdr:colOff>
          <xdr:row>59</xdr:row>
          <xdr:rowOff>0</xdr:rowOff>
        </xdr:to>
        <xdr:sp macro="" textlink="">
          <xdr:nvSpPr>
            <xdr:cNvPr id="1165" name="zip_btn_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68</xdr:row>
          <xdr:rowOff>0</xdr:rowOff>
        </xdr:from>
        <xdr:to>
          <xdr:col>4</xdr:col>
          <xdr:colOff>438150</xdr:colOff>
          <xdr:row>69</xdr:row>
          <xdr:rowOff>19050</xdr:rowOff>
        </xdr:to>
        <xdr:sp macro="" textlink="">
          <xdr:nvSpPr>
            <xdr:cNvPr id="1167" name="ComboBox26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63</xdr:row>
          <xdr:rowOff>28575</xdr:rowOff>
        </xdr:from>
        <xdr:to>
          <xdr:col>2</xdr:col>
          <xdr:colOff>714375</xdr:colOff>
          <xdr:row>65</xdr:row>
          <xdr:rowOff>28575</xdr:rowOff>
        </xdr:to>
        <xdr:sp macro="" textlink="">
          <xdr:nvSpPr>
            <xdr:cNvPr id="1169" name="zip_btn_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</xdr:row>
          <xdr:rowOff>38100</xdr:rowOff>
        </xdr:from>
        <xdr:to>
          <xdr:col>2</xdr:col>
          <xdr:colOff>723900</xdr:colOff>
          <xdr:row>63</xdr:row>
          <xdr:rowOff>9525</xdr:rowOff>
        </xdr:to>
        <xdr:sp macro="" textlink="">
          <xdr:nvSpPr>
            <xdr:cNvPr id="1170" name="zip_btn_4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61</xdr:row>
          <xdr:rowOff>38100</xdr:rowOff>
        </xdr:from>
        <xdr:to>
          <xdr:col>5</xdr:col>
          <xdr:colOff>714375</xdr:colOff>
          <xdr:row>63</xdr:row>
          <xdr:rowOff>9525</xdr:rowOff>
        </xdr:to>
        <xdr:sp macro="" textlink="">
          <xdr:nvSpPr>
            <xdr:cNvPr id="1171" name="zip_btn_6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63</xdr:row>
          <xdr:rowOff>28575</xdr:rowOff>
        </xdr:from>
        <xdr:to>
          <xdr:col>5</xdr:col>
          <xdr:colOff>714375</xdr:colOff>
          <xdr:row>65</xdr:row>
          <xdr:rowOff>28575</xdr:rowOff>
        </xdr:to>
        <xdr:sp macro="" textlink="">
          <xdr:nvSpPr>
            <xdr:cNvPr id="1172" name="zip_btn_7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523875</xdr:colOff>
          <xdr:row>7</xdr:row>
          <xdr:rowOff>238125</xdr:rowOff>
        </xdr:from>
        <xdr:to>
          <xdr:col>13</xdr:col>
          <xdr:colOff>485775</xdr:colOff>
          <xdr:row>9</xdr:row>
          <xdr:rowOff>9525</xdr:rowOff>
        </xdr:to>
        <xdr:sp macro="" textlink="">
          <xdr:nvSpPr>
            <xdr:cNvPr id="1174" name="main_btn_1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42</xdr:row>
          <xdr:rowOff>38100</xdr:rowOff>
        </xdr:from>
        <xdr:to>
          <xdr:col>8</xdr:col>
          <xdr:colOff>752475</xdr:colOff>
          <xdr:row>44</xdr:row>
          <xdr:rowOff>0</xdr:rowOff>
        </xdr:to>
        <xdr:sp macro="" textlink="">
          <xdr:nvSpPr>
            <xdr:cNvPr id="1176" name="fl_btn_6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42</xdr:row>
          <xdr:rowOff>38100</xdr:rowOff>
        </xdr:from>
        <xdr:to>
          <xdr:col>10</xdr:col>
          <xdr:colOff>790575</xdr:colOff>
          <xdr:row>44</xdr:row>
          <xdr:rowOff>0</xdr:rowOff>
        </xdr:to>
        <xdr:sp macro="" textlink="">
          <xdr:nvSpPr>
            <xdr:cNvPr id="1178" name="fl_btn_7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42</xdr:row>
          <xdr:rowOff>38100</xdr:rowOff>
        </xdr:from>
        <xdr:to>
          <xdr:col>10</xdr:col>
          <xdr:colOff>57150</xdr:colOff>
          <xdr:row>44</xdr:row>
          <xdr:rowOff>0</xdr:rowOff>
        </xdr:to>
        <xdr:sp macro="" textlink="">
          <xdr:nvSpPr>
            <xdr:cNvPr id="1181" name="fl_btn_8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866775</xdr:colOff>
          <xdr:row>44</xdr:row>
          <xdr:rowOff>38100</xdr:rowOff>
        </xdr:from>
        <xdr:to>
          <xdr:col>12</xdr:col>
          <xdr:colOff>676275</xdr:colOff>
          <xdr:row>46</xdr:row>
          <xdr:rowOff>0</xdr:rowOff>
        </xdr:to>
        <xdr:sp macro="" textlink="">
          <xdr:nvSpPr>
            <xdr:cNvPr id="1133" name="fl_btn_14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44</xdr:row>
          <xdr:rowOff>38100</xdr:rowOff>
        </xdr:from>
        <xdr:to>
          <xdr:col>4</xdr:col>
          <xdr:colOff>152400</xdr:colOff>
          <xdr:row>46</xdr:row>
          <xdr:rowOff>9525</xdr:rowOff>
        </xdr:to>
        <xdr:sp macro="" textlink="">
          <xdr:nvSpPr>
            <xdr:cNvPr id="1135" name="fl_btn_10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44</xdr:row>
          <xdr:rowOff>38100</xdr:rowOff>
        </xdr:from>
        <xdr:to>
          <xdr:col>8</xdr:col>
          <xdr:colOff>752475</xdr:colOff>
          <xdr:row>46</xdr:row>
          <xdr:rowOff>0</xdr:rowOff>
        </xdr:to>
        <xdr:sp macro="" textlink="">
          <xdr:nvSpPr>
            <xdr:cNvPr id="1177" name="fl_btn_11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44</xdr:row>
          <xdr:rowOff>38100</xdr:rowOff>
        </xdr:from>
        <xdr:to>
          <xdr:col>10</xdr:col>
          <xdr:colOff>790575</xdr:colOff>
          <xdr:row>46</xdr:row>
          <xdr:rowOff>0</xdr:rowOff>
        </xdr:to>
        <xdr:sp macro="" textlink="">
          <xdr:nvSpPr>
            <xdr:cNvPr id="1179" name="fl_btn_12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44</xdr:row>
          <xdr:rowOff>38100</xdr:rowOff>
        </xdr:from>
        <xdr:to>
          <xdr:col>10</xdr:col>
          <xdr:colOff>57150</xdr:colOff>
          <xdr:row>45</xdr:row>
          <xdr:rowOff>238125</xdr:rowOff>
        </xdr:to>
        <xdr:sp macro="" textlink="">
          <xdr:nvSpPr>
            <xdr:cNvPr id="1182" name="fl_btn_13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47</xdr:row>
          <xdr:rowOff>0</xdr:rowOff>
        </xdr:from>
        <xdr:to>
          <xdr:col>7</xdr:col>
          <xdr:colOff>762000</xdr:colOff>
          <xdr:row>48</xdr:row>
          <xdr:rowOff>19050</xdr:rowOff>
        </xdr:to>
        <xdr:sp macro="" textlink="">
          <xdr:nvSpPr>
            <xdr:cNvPr id="1183" name="fl_btn_16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47</xdr:row>
          <xdr:rowOff>0</xdr:rowOff>
        </xdr:from>
        <xdr:to>
          <xdr:col>9</xdr:col>
          <xdr:colOff>685800</xdr:colOff>
          <xdr:row>48</xdr:row>
          <xdr:rowOff>9525</xdr:rowOff>
        </xdr:to>
        <xdr:sp macro="" textlink="">
          <xdr:nvSpPr>
            <xdr:cNvPr id="1184" name="fl_btn_17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6" Type="http://schemas.openxmlformats.org/officeDocument/2006/relationships/control" Target="../activeX/activeX7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87" Type="http://schemas.openxmlformats.org/officeDocument/2006/relationships/image" Target="../media/image42.emf"/><Relationship Id="rId102" Type="http://schemas.openxmlformats.org/officeDocument/2006/relationships/control" Target="../activeX/activeX50.xml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13" Type="http://schemas.openxmlformats.org/officeDocument/2006/relationships/image" Target="../media/image55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16" Type="http://schemas.openxmlformats.org/officeDocument/2006/relationships/control" Target="../activeX/activeX57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11" Type="http://schemas.openxmlformats.org/officeDocument/2006/relationships/image" Target="../media/image5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14" Type="http://schemas.openxmlformats.org/officeDocument/2006/relationships/control" Target="../activeX/activeX56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S5020"/>
  <sheetViews>
    <sheetView topLeftCell="A13" zoomScaleNormal="100" workbookViewId="0">
      <selection activeCell="O8" sqref="O8"/>
    </sheetView>
  </sheetViews>
  <sheetFormatPr defaultRowHeight="15" x14ac:dyDescent="0.25"/>
  <cols>
    <col min="1" max="1" width="4.85546875" customWidth="1"/>
    <col min="2" max="4" width="11.42578125" customWidth="1"/>
    <col min="5" max="6" width="11.28515625" customWidth="1"/>
    <col min="7" max="7" width="10.7109375" customWidth="1"/>
    <col min="8" max="8" width="12.42578125" customWidth="1"/>
    <col min="9" max="9" width="11.7109375" customWidth="1"/>
    <col min="10" max="10" width="15.5703125" customWidth="1"/>
    <col min="11" max="11" width="13.28515625" customWidth="1"/>
    <col min="12" max="12" width="10.85546875" customWidth="1"/>
    <col min="13" max="13" width="13.42578125" customWidth="1"/>
    <col min="14" max="14" width="10.42578125" customWidth="1"/>
    <col min="15" max="16" width="8.85546875" customWidth="1"/>
  </cols>
  <sheetData>
    <row r="1" spans="1:17" ht="19.5" customHeight="1" x14ac:dyDescent="0.25">
      <c r="A1" s="6"/>
      <c r="B1" s="6"/>
      <c r="C1" s="6"/>
      <c r="D1" s="6"/>
      <c r="E1" s="6"/>
      <c r="F1" s="6"/>
      <c r="G1" s="6"/>
      <c r="H1" s="6"/>
      <c r="I1" s="14"/>
      <c r="J1" s="6"/>
      <c r="K1" s="6"/>
      <c r="L1" s="6"/>
      <c r="M1" s="6"/>
      <c r="N1" s="6"/>
      <c r="O1" s="6"/>
      <c r="P1" s="6"/>
    </row>
    <row r="2" spans="1:17" ht="19.5" customHeight="1" x14ac:dyDescent="0.25">
      <c r="A2" s="6"/>
      <c r="B2" s="233" t="str">
        <f>"Предварительный обсчет материала: "&amp;control!I1&amp;" "&amp;control!O14</f>
        <v>Предварительный обсчет материала: секция АВГ-БМ-20-2.5-Б1/8-3-4 УХЛ1</v>
      </c>
      <c r="C2" s="234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</row>
    <row r="3" spans="1:17" ht="19.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7" ht="19.5" customHeight="1" x14ac:dyDescent="0.3">
      <c r="A4" s="4"/>
      <c r="B4" s="5" t="s">
        <v>40</v>
      </c>
      <c r="C4" s="5"/>
      <c r="D4" s="40">
        <v>18</v>
      </c>
      <c r="E4" s="100">
        <v>157</v>
      </c>
      <c r="F4" s="12">
        <v>90</v>
      </c>
      <c r="G4" s="6"/>
      <c r="H4" s="7" t="s">
        <v>41</v>
      </c>
      <c r="I4" s="6"/>
      <c r="J4" s="10"/>
      <c r="K4" s="269">
        <v>43349</v>
      </c>
      <c r="L4" s="270"/>
      <c r="M4" s="232" t="s">
        <v>43</v>
      </c>
      <c r="N4" s="276"/>
      <c r="O4" s="15">
        <v>0</v>
      </c>
      <c r="P4" s="2"/>
    </row>
    <row r="5" spans="1:17" ht="19.5" customHeight="1" x14ac:dyDescent="0.3">
      <c r="A5" s="4"/>
      <c r="B5" s="225"/>
      <c r="C5" s="274"/>
      <c r="D5" s="85"/>
      <c r="E5" s="10"/>
      <c r="F5" s="10"/>
      <c r="G5" s="6"/>
      <c r="H5" s="233" t="s">
        <v>42</v>
      </c>
      <c r="I5" s="275"/>
      <c r="J5" s="10"/>
      <c r="K5" s="271" t="s">
        <v>47</v>
      </c>
      <c r="L5" s="272"/>
      <c r="M5" s="272"/>
      <c r="N5" s="272"/>
      <c r="O5" s="273"/>
      <c r="P5" s="2"/>
    </row>
    <row r="6" spans="1:17" ht="19.5" customHeight="1" x14ac:dyDescent="0.3">
      <c r="A6" s="4"/>
      <c r="B6" s="4"/>
      <c r="C6" s="4"/>
      <c r="D6" s="4"/>
      <c r="E6" s="4"/>
      <c r="F6" s="4"/>
      <c r="G6" s="4"/>
      <c r="H6" s="240" t="str">
        <f>"Количество "&amp;(IF(control!I1="аппарат","аппаратов",(IF(control!I1="блок аппаратов","блоков","секций"))))</f>
        <v>Количество секций</v>
      </c>
      <c r="I6" s="268"/>
      <c r="J6" s="268"/>
      <c r="K6" s="11">
        <v>1</v>
      </c>
      <c r="L6" s="266" t="str">
        <f>IF(control!I1="блок аппаратов","Аппаратов в блоке","")</f>
        <v/>
      </c>
      <c r="M6" s="267"/>
      <c r="N6" s="267"/>
      <c r="O6" s="153" t="str">
        <f>IF(control!I1="блок аппаратов","2","")</f>
        <v/>
      </c>
      <c r="P6" s="2"/>
    </row>
    <row r="7" spans="1:17" ht="19.5" customHeight="1" x14ac:dyDescent="0.3">
      <c r="A7" s="4"/>
      <c r="B7" s="4"/>
      <c r="C7" s="4"/>
      <c r="D7" s="4"/>
      <c r="E7" s="4"/>
      <c r="F7" s="4"/>
      <c r="G7" s="4"/>
      <c r="H7" s="240" t="s">
        <v>44</v>
      </c>
      <c r="I7" s="241"/>
      <c r="J7" s="241"/>
      <c r="K7" s="4"/>
      <c r="L7" s="4"/>
      <c r="M7" s="166" t="str">
        <f>IF(control!I1="секция","","Секций в аппарате")</f>
        <v/>
      </c>
      <c r="N7" s="167"/>
      <c r="O7" s="153" t="str">
        <f>IF(control!I1&lt;&gt;"секция","2","")</f>
        <v/>
      </c>
      <c r="P7" s="2"/>
    </row>
    <row r="8" spans="1:17" ht="19.5" customHeight="1" x14ac:dyDescent="0.3">
      <c r="A8" s="4"/>
      <c r="B8" s="4"/>
      <c r="C8" s="4"/>
      <c r="D8" s="4"/>
      <c r="E8" s="4"/>
      <c r="F8" s="4"/>
      <c r="G8" s="4"/>
      <c r="H8" s="8"/>
      <c r="I8" s="9"/>
      <c r="J8" s="130"/>
      <c r="K8" s="4"/>
      <c r="L8" s="4"/>
      <c r="M8" s="4"/>
      <c r="N8" s="4"/>
      <c r="O8" s="4"/>
      <c r="P8" s="2"/>
    </row>
    <row r="9" spans="1:17" ht="19.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244" t="s">
        <v>194</v>
      </c>
      <c r="L9" s="245"/>
      <c r="M9" s="129" t="str">
        <f>control!A12</f>
        <v>БМ</v>
      </c>
      <c r="N9" s="2"/>
      <c r="O9" s="129"/>
      <c r="P9" s="2"/>
    </row>
    <row r="10" spans="1:17" ht="19.5" customHeight="1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3"/>
      <c r="Q10" s="107"/>
    </row>
    <row r="11" spans="1:17" ht="19.5" customHeight="1" x14ac:dyDescent="0.25">
      <c r="A11" s="16"/>
      <c r="B11" s="233" t="s">
        <v>48</v>
      </c>
      <c r="C11" s="233"/>
      <c r="D11" s="233"/>
      <c r="E11" s="17"/>
      <c r="F11" s="18"/>
      <c r="G11" s="242" t="str">
        <f>control!I28</f>
        <v>Сталь 09Г2С-15 ГОСТ 5520-79</v>
      </c>
      <c r="H11" s="241"/>
      <c r="I11" s="241"/>
      <c r="J11" s="243"/>
      <c r="K11" s="87"/>
      <c r="L11" s="152"/>
      <c r="M11" s="154"/>
      <c r="N11" s="156"/>
      <c r="O11" s="18"/>
      <c r="P11" s="16"/>
      <c r="Q11" s="107"/>
    </row>
    <row r="12" spans="1:17" ht="8.1" customHeight="1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07"/>
    </row>
    <row r="13" spans="1:17" ht="19.5" customHeight="1" x14ac:dyDescent="0.25">
      <c r="A13" s="20"/>
      <c r="B13" s="233" t="s">
        <v>54</v>
      </c>
      <c r="C13" s="229"/>
      <c r="D13" s="229"/>
      <c r="E13" s="20"/>
      <c r="F13" s="20"/>
      <c r="G13" s="20"/>
      <c r="H13" s="201" t="str">
        <f>IF(AND(control!P1="Цельносварная",control!Q1),"шт","")</f>
        <v>шт</v>
      </c>
      <c r="I13" s="20"/>
      <c r="J13" s="21"/>
      <c r="K13" s="25"/>
      <c r="L13" s="21"/>
      <c r="M13" s="25"/>
      <c r="N13" s="26"/>
      <c r="O13" s="25" t="str">
        <f>IF(AND(control!P1="Цельносварная",control!R1),"шт","")</f>
        <v>шт</v>
      </c>
      <c r="P13" s="20"/>
      <c r="Q13" s="107"/>
    </row>
    <row r="14" spans="1:17" ht="8.1" customHeight="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107"/>
    </row>
    <row r="15" spans="1:17" ht="19.5" customHeight="1" x14ac:dyDescent="0.25">
      <c r="A15" s="30"/>
      <c r="B15" s="228" t="s">
        <v>57</v>
      </c>
      <c r="C15" s="250"/>
      <c r="D15" s="43">
        <v>2920</v>
      </c>
      <c r="E15" s="248" t="s">
        <v>62</v>
      </c>
      <c r="F15" s="239"/>
      <c r="G15" s="239"/>
      <c r="H15" s="153" t="s">
        <v>85</v>
      </c>
      <c r="I15" s="6"/>
      <c r="J15" s="236" t="s">
        <v>63</v>
      </c>
      <c r="K15" s="249"/>
      <c r="L15" s="249"/>
      <c r="M15" s="153" t="str">
        <f>control!V4</f>
        <v>по фланцу</v>
      </c>
      <c r="N15" s="2"/>
      <c r="O15" s="47" t="s">
        <v>68</v>
      </c>
      <c r="P15" s="30"/>
      <c r="Q15" s="107"/>
    </row>
    <row r="16" spans="1:17" ht="8.1" customHeight="1" x14ac:dyDescent="0.25">
      <c r="A16" s="33"/>
      <c r="B16" s="33"/>
      <c r="C16" s="37"/>
      <c r="D16" s="42"/>
      <c r="E16" s="29"/>
      <c r="F16" s="6"/>
      <c r="G16" s="28"/>
      <c r="H16" s="28"/>
      <c r="I16" s="29"/>
      <c r="J16" s="41"/>
      <c r="K16" s="28"/>
      <c r="L16" s="28"/>
      <c r="M16" s="28"/>
      <c r="N16" s="2"/>
      <c r="O16" s="2"/>
      <c r="P16" s="33"/>
      <c r="Q16" s="107"/>
    </row>
    <row r="17" spans="1:17" ht="19.5" customHeight="1" x14ac:dyDescent="0.25">
      <c r="A17" s="35"/>
      <c r="B17" s="258" t="s">
        <v>58</v>
      </c>
      <c r="C17" s="261"/>
      <c r="D17" s="38">
        <v>25</v>
      </c>
      <c r="E17" s="36" t="s">
        <v>59</v>
      </c>
      <c r="F17" s="39">
        <v>20</v>
      </c>
      <c r="G17" s="252" t="s">
        <v>60</v>
      </c>
      <c r="H17" s="260"/>
      <c r="I17" s="40">
        <v>20</v>
      </c>
      <c r="J17" s="251" t="s">
        <v>61</v>
      </c>
      <c r="K17" s="239"/>
      <c r="L17" s="34">
        <v>10</v>
      </c>
      <c r="M17" s="45" t="s">
        <v>68</v>
      </c>
      <c r="N17" s="30"/>
      <c r="O17" s="30"/>
      <c r="P17" s="30"/>
      <c r="Q17" s="107"/>
    </row>
    <row r="18" spans="1:17" ht="8.1" customHeight="1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107"/>
    </row>
    <row r="19" spans="1:17" ht="19.5" customHeight="1" x14ac:dyDescent="0.25">
      <c r="A19" s="44"/>
      <c r="B19" s="246" t="str">
        <f>"Высота передней камеры "&amp;control!S5</f>
        <v>Высота передней камеры 1</v>
      </c>
      <c r="C19" s="247"/>
      <c r="D19" s="247"/>
      <c r="E19" s="247"/>
      <c r="F19" s="34">
        <v>500</v>
      </c>
      <c r="G19" s="252" t="s">
        <v>174</v>
      </c>
      <c r="H19" s="226"/>
      <c r="I19" s="253"/>
      <c r="J19" s="34">
        <v>1</v>
      </c>
      <c r="K19" s="252" t="s">
        <v>196</v>
      </c>
      <c r="L19" s="255"/>
      <c r="M19" s="34">
        <v>1</v>
      </c>
      <c r="N19" s="33"/>
      <c r="O19" s="33"/>
      <c r="P19" s="33"/>
      <c r="Q19" s="107"/>
    </row>
    <row r="20" spans="1:17" ht="19.5" customHeight="1" x14ac:dyDescent="0.25">
      <c r="A20" s="33"/>
      <c r="B20" s="228" t="s">
        <v>64</v>
      </c>
      <c r="C20" s="257"/>
      <c r="D20" s="257"/>
      <c r="E20" s="257"/>
      <c r="F20" s="34">
        <v>500</v>
      </c>
      <c r="G20" s="254"/>
      <c r="H20" s="226"/>
      <c r="I20" s="253"/>
      <c r="J20" s="34">
        <v>1</v>
      </c>
      <c r="K20" s="256"/>
      <c r="L20" s="255"/>
      <c r="M20" s="34">
        <v>1</v>
      </c>
      <c r="N20" s="33"/>
      <c r="O20" s="33"/>
      <c r="P20" s="33"/>
    </row>
    <row r="21" spans="1:17" ht="19.5" customHeight="1" x14ac:dyDescent="0.25">
      <c r="A21" s="33"/>
      <c r="B21" s="228" t="s">
        <v>65</v>
      </c>
      <c r="C21" s="257"/>
      <c r="D21" s="257"/>
      <c r="E21" s="257"/>
      <c r="F21" s="115">
        <v>500</v>
      </c>
      <c r="G21" s="254"/>
      <c r="H21" s="226"/>
      <c r="I21" s="253"/>
      <c r="J21" s="34">
        <v>1</v>
      </c>
      <c r="K21" s="256"/>
      <c r="L21" s="255"/>
      <c r="M21" s="34">
        <v>1</v>
      </c>
      <c r="N21" s="33"/>
      <c r="O21" s="33"/>
      <c r="P21" s="33"/>
    </row>
    <row r="22" spans="1:17" ht="3.95" customHeight="1" x14ac:dyDescent="0.25">
      <c r="A22" s="33"/>
      <c r="B22" s="228"/>
      <c r="C22" s="229"/>
      <c r="D22" s="229"/>
      <c r="E22" s="229"/>
      <c r="F22" s="116"/>
      <c r="G22" s="45"/>
      <c r="H22" s="33"/>
      <c r="I22" s="33"/>
      <c r="J22" s="45"/>
      <c r="K22" s="45"/>
      <c r="L22" s="45"/>
      <c r="M22" s="33"/>
      <c r="N22" s="33"/>
      <c r="O22" s="33"/>
      <c r="P22" s="33"/>
    </row>
    <row r="23" spans="1:17" ht="19.5" customHeight="1" x14ac:dyDescent="0.25">
      <c r="A23" s="33"/>
      <c r="B23" s="228" t="str">
        <f>"Высота задней камеры "&amp;control!T5</f>
        <v>Высота задней камеры 1</v>
      </c>
      <c r="C23" s="257"/>
      <c r="D23" s="257"/>
      <c r="E23" s="257"/>
      <c r="F23" s="43">
        <v>500</v>
      </c>
      <c r="G23" s="262" t="s">
        <v>174</v>
      </c>
      <c r="H23" s="226"/>
      <c r="I23" s="253"/>
      <c r="J23" s="34">
        <v>1</v>
      </c>
      <c r="K23" s="252" t="s">
        <v>196</v>
      </c>
      <c r="L23" s="255"/>
      <c r="M23" s="34">
        <v>1</v>
      </c>
      <c r="N23" s="33"/>
      <c r="O23" s="33"/>
      <c r="P23" s="33"/>
    </row>
    <row r="24" spans="1:17" ht="19.5" customHeight="1" x14ac:dyDescent="0.25">
      <c r="A24" s="33"/>
      <c r="B24" s="228" t="s">
        <v>66</v>
      </c>
      <c r="C24" s="257"/>
      <c r="D24" s="257"/>
      <c r="E24" s="257"/>
      <c r="F24" s="43">
        <v>500</v>
      </c>
      <c r="G24" s="263"/>
      <c r="H24" s="264"/>
      <c r="I24" s="265"/>
      <c r="J24" s="34">
        <v>1</v>
      </c>
      <c r="K24" s="256"/>
      <c r="L24" s="255"/>
      <c r="M24" s="34">
        <v>1</v>
      </c>
      <c r="N24" s="33"/>
      <c r="O24" s="33"/>
      <c r="P24" s="33"/>
    </row>
    <row r="25" spans="1:17" ht="19.5" customHeight="1" x14ac:dyDescent="0.25">
      <c r="A25" s="33"/>
      <c r="B25" s="228" t="s">
        <v>67</v>
      </c>
      <c r="C25" s="257"/>
      <c r="D25" s="257"/>
      <c r="E25" s="257"/>
      <c r="F25" s="43">
        <v>500</v>
      </c>
      <c r="G25" s="263"/>
      <c r="H25" s="264"/>
      <c r="I25" s="265"/>
      <c r="J25" s="34">
        <v>1</v>
      </c>
      <c r="K25" s="256"/>
      <c r="L25" s="255"/>
      <c r="M25" s="34">
        <v>1</v>
      </c>
      <c r="N25" s="33"/>
      <c r="O25" s="33"/>
      <c r="P25" s="33"/>
    </row>
    <row r="26" spans="1:17" ht="0.75" customHeight="1" x14ac:dyDescent="0.3">
      <c r="A26" s="32"/>
      <c r="B26" s="117"/>
      <c r="C26" s="117"/>
      <c r="D26" s="117"/>
      <c r="E26" s="117"/>
      <c r="F26" s="117"/>
      <c r="G26" s="46"/>
      <c r="H26" s="32"/>
      <c r="I26" s="32"/>
      <c r="J26" s="32"/>
      <c r="K26" s="32"/>
      <c r="L26" s="32"/>
      <c r="M26" s="32"/>
      <c r="N26" s="32"/>
      <c r="O26" s="32"/>
      <c r="P26" s="32"/>
    </row>
    <row r="27" spans="1:17" ht="24" hidden="1" customHeight="1" x14ac:dyDescent="0.3">
      <c r="A27" s="32"/>
      <c r="B27" s="117"/>
      <c r="C27" s="117"/>
      <c r="D27" s="117"/>
      <c r="E27" s="117"/>
      <c r="F27" s="117"/>
      <c r="G27" s="46"/>
      <c r="H27" s="32"/>
      <c r="I27" s="32"/>
      <c r="J27" s="32"/>
      <c r="K27" s="32"/>
      <c r="L27" s="32"/>
      <c r="M27" s="32"/>
      <c r="N27" s="32"/>
      <c r="O27" s="32"/>
      <c r="P27" s="32"/>
    </row>
    <row r="28" spans="1:17" ht="24" hidden="1" customHeight="1" x14ac:dyDescent="0.3">
      <c r="A28" s="32"/>
      <c r="B28" s="258"/>
      <c r="C28" s="259"/>
      <c r="D28" s="259"/>
      <c r="E28" s="259"/>
      <c r="F28" s="114"/>
      <c r="G28" s="46"/>
      <c r="H28" s="32"/>
      <c r="I28" s="32"/>
      <c r="J28" s="32"/>
      <c r="K28" s="32"/>
      <c r="L28" s="32"/>
      <c r="M28" s="32"/>
      <c r="N28" s="32"/>
      <c r="O28" s="32"/>
      <c r="P28" s="32"/>
    </row>
    <row r="29" spans="1:17" ht="24" hidden="1" customHeight="1" x14ac:dyDescent="0.3">
      <c r="A29" s="31"/>
      <c r="B29" s="258"/>
      <c r="C29" s="259"/>
      <c r="D29" s="259"/>
      <c r="E29" s="259"/>
      <c r="F29" s="114"/>
      <c r="G29" s="46"/>
      <c r="H29" s="31"/>
      <c r="I29" s="31"/>
      <c r="J29" s="31"/>
      <c r="K29" s="31"/>
      <c r="L29" s="31"/>
      <c r="M29" s="31"/>
      <c r="N29" s="31"/>
      <c r="O29" s="31"/>
      <c r="P29" s="31"/>
    </row>
    <row r="30" spans="1:17" ht="8.1" hidden="1" customHeight="1" x14ac:dyDescent="0.3">
      <c r="A30" s="31"/>
      <c r="B30" s="63"/>
      <c r="C30" s="64"/>
      <c r="D30" s="64"/>
      <c r="E30" s="64"/>
      <c r="F30" s="65"/>
      <c r="G30" s="46"/>
      <c r="H30" s="31"/>
      <c r="I30" s="31"/>
      <c r="J30" s="31"/>
      <c r="K30" s="31"/>
      <c r="L30" s="31"/>
      <c r="M30" s="31"/>
      <c r="N30" s="31"/>
      <c r="O30" s="31"/>
      <c r="P30" s="31"/>
    </row>
    <row r="31" spans="1:17" ht="19.5" hidden="1" customHeight="1" x14ac:dyDescent="0.3">
      <c r="A31" s="31"/>
      <c r="B31" s="228" t="s">
        <v>86</v>
      </c>
      <c r="C31" s="283"/>
      <c r="D31" s="39">
        <v>426</v>
      </c>
      <c r="E31" s="238" t="s">
        <v>87</v>
      </c>
      <c r="F31" s="249"/>
      <c r="G31" s="67">
        <v>16</v>
      </c>
      <c r="H31" s="70" t="s">
        <v>201</v>
      </c>
      <c r="I31" s="12">
        <v>3500</v>
      </c>
      <c r="J31" s="252" t="s">
        <v>88</v>
      </c>
      <c r="K31" s="249"/>
      <c r="L31" s="281"/>
      <c r="M31" s="46">
        <f>ROUND((D31-2*G31)^2*3.14/4,)</f>
        <v>121860</v>
      </c>
      <c r="N31" s="46"/>
      <c r="O31" s="46"/>
      <c r="P31" s="46"/>
    </row>
    <row r="32" spans="1:17" ht="24" hidden="1" customHeight="1" x14ac:dyDescent="0.3">
      <c r="A32" s="31"/>
      <c r="B32" s="63"/>
      <c r="C32" s="25"/>
      <c r="D32" s="61"/>
      <c r="E32" s="61"/>
      <c r="F32" s="62"/>
      <c r="G32" s="68"/>
      <c r="H32" s="65"/>
      <c r="I32" s="61"/>
      <c r="J32" s="65"/>
      <c r="K32" s="62"/>
      <c r="L32" s="69"/>
      <c r="M32" s="46"/>
      <c r="N32" s="46"/>
      <c r="O32" s="46"/>
      <c r="P32" s="46"/>
    </row>
    <row r="33" spans="1:16" ht="24" hidden="1" customHeight="1" x14ac:dyDescent="0.3">
      <c r="A33" s="31"/>
      <c r="B33" s="63"/>
      <c r="C33" s="25"/>
      <c r="D33" s="61"/>
      <c r="E33" s="61"/>
      <c r="F33" s="62"/>
      <c r="G33" s="68"/>
      <c r="H33" s="65"/>
      <c r="I33" s="61"/>
      <c r="J33" s="65"/>
      <c r="K33" s="62"/>
      <c r="L33" s="69"/>
      <c r="M33" s="46"/>
      <c r="N33" s="46"/>
      <c r="O33" s="46"/>
      <c r="P33" s="46"/>
    </row>
    <row r="34" spans="1:16" ht="24" hidden="1" customHeight="1" x14ac:dyDescent="0.3">
      <c r="A34" s="31"/>
      <c r="B34" s="63"/>
      <c r="C34" s="25"/>
      <c r="D34" s="61"/>
      <c r="E34" s="61"/>
      <c r="F34" s="62"/>
      <c r="G34" s="68"/>
      <c r="H34" s="65"/>
      <c r="I34" s="61"/>
      <c r="J34" s="65"/>
      <c r="K34" s="62"/>
      <c r="L34" s="69"/>
      <c r="M34" s="46"/>
      <c r="N34" s="46"/>
      <c r="O34" s="46"/>
      <c r="P34" s="46"/>
    </row>
    <row r="35" spans="1:16" ht="24" hidden="1" customHeight="1" x14ac:dyDescent="0.3">
      <c r="A35" s="31"/>
      <c r="B35" s="63"/>
      <c r="C35" s="25"/>
      <c r="D35" s="61"/>
      <c r="E35" s="61"/>
      <c r="F35" s="62"/>
      <c r="G35" s="68"/>
      <c r="H35" s="65"/>
      <c r="I35" s="61"/>
      <c r="J35" s="65"/>
      <c r="K35" s="62"/>
      <c r="L35" s="69"/>
      <c r="M35" s="46"/>
      <c r="N35" s="46"/>
      <c r="O35" s="46"/>
      <c r="P35" s="46"/>
    </row>
    <row r="36" spans="1:16" ht="24" hidden="1" customHeight="1" x14ac:dyDescent="0.3">
      <c r="A36" s="31"/>
      <c r="B36" s="63"/>
      <c r="C36" s="25"/>
      <c r="D36" s="61"/>
      <c r="E36" s="61"/>
      <c r="F36" s="62"/>
      <c r="G36" s="68"/>
      <c r="H36" s="65"/>
      <c r="I36" s="61"/>
      <c r="J36" s="65"/>
      <c r="K36" s="62"/>
      <c r="L36" s="69"/>
      <c r="M36" s="46"/>
      <c r="N36" s="46"/>
      <c r="O36" s="46"/>
      <c r="P36" s="46"/>
    </row>
    <row r="37" spans="1:16" ht="19.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ht="19.5" hidden="1" customHeight="1" x14ac:dyDescent="0.3">
      <c r="A38" s="2"/>
      <c r="B38" s="240"/>
      <c r="C38" s="241"/>
      <c r="D38" s="241"/>
      <c r="E38" s="66"/>
      <c r="F38" s="280"/>
      <c r="G38" s="231"/>
      <c r="H38" s="86"/>
      <c r="I38" s="6"/>
      <c r="J38" s="236"/>
      <c r="K38" s="264"/>
      <c r="L38" s="264"/>
      <c r="M38" s="173"/>
      <c r="N38" s="27"/>
      <c r="O38" s="2"/>
      <c r="P38" s="2"/>
    </row>
    <row r="39" spans="1:16" ht="3.95" customHeight="1" x14ac:dyDescent="0.3">
      <c r="A39" s="2"/>
      <c r="B39" s="48"/>
      <c r="C39" s="51"/>
      <c r="D39" s="51"/>
      <c r="E39" s="52"/>
      <c r="F39" s="56"/>
      <c r="G39" s="57"/>
      <c r="H39" s="58"/>
      <c r="I39" s="49"/>
      <c r="J39" s="49"/>
      <c r="K39" s="51"/>
      <c r="L39" s="51"/>
      <c r="M39" s="59"/>
      <c r="N39" s="50"/>
      <c r="O39" s="2"/>
      <c r="P39" s="2"/>
    </row>
    <row r="40" spans="1:16" ht="19.5" customHeight="1" x14ac:dyDescent="0.3">
      <c r="A40" s="2"/>
      <c r="B40" s="48"/>
      <c r="C40" s="51"/>
      <c r="D40" s="51"/>
      <c r="E40" s="52"/>
      <c r="F40" s="56"/>
      <c r="G40" s="57"/>
      <c r="H40" s="58"/>
      <c r="I40" s="49"/>
      <c r="J40" s="49"/>
      <c r="K40" s="51"/>
      <c r="L40" s="51"/>
      <c r="M40" s="59"/>
      <c r="N40" s="50"/>
      <c r="O40" s="2"/>
      <c r="P40" s="2"/>
    </row>
    <row r="41" spans="1:16" ht="8.1" customHeight="1" x14ac:dyDescent="0.3">
      <c r="A41" s="4"/>
      <c r="B41" s="2"/>
      <c r="C41" s="2"/>
      <c r="D41" s="2"/>
      <c r="E41" s="2"/>
      <c r="F41" s="2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spans="1:16" ht="19.5" customHeight="1" x14ac:dyDescent="0.3">
      <c r="A42" s="4"/>
      <c r="B42" s="227" t="str">
        <f>IF(control!J6,"Входа","Входа/выхода")</f>
        <v>Входа</v>
      </c>
      <c r="C42" s="226"/>
      <c r="D42" s="228" t="s">
        <v>69</v>
      </c>
      <c r="E42" s="230" t="s">
        <v>255</v>
      </c>
      <c r="F42" s="12">
        <v>4</v>
      </c>
      <c r="G42" s="225" t="s">
        <v>257</v>
      </c>
      <c r="H42" s="153">
        <f>control!W6</f>
        <v>2.5</v>
      </c>
      <c r="I42" s="172"/>
      <c r="J42" s="233" t="s">
        <v>258</v>
      </c>
      <c r="K42" s="171"/>
      <c r="L42" s="4"/>
      <c r="M42" s="4"/>
      <c r="N42" s="4"/>
      <c r="O42" s="4"/>
      <c r="P42" s="4"/>
    </row>
    <row r="43" spans="1:16" ht="3.95" customHeight="1" x14ac:dyDescent="0.3">
      <c r="A43" s="4"/>
      <c r="B43" s="168"/>
      <c r="C43" s="168"/>
      <c r="D43" s="229"/>
      <c r="E43" s="231"/>
      <c r="F43" s="172"/>
      <c r="G43" s="226"/>
      <c r="H43" s="69"/>
      <c r="I43" s="4"/>
      <c r="J43" s="235"/>
      <c r="K43" s="171"/>
      <c r="L43" s="4"/>
      <c r="M43" s="4"/>
      <c r="N43" s="4"/>
      <c r="O43" s="4"/>
      <c r="P43" s="4"/>
    </row>
    <row r="44" spans="1:16" ht="19.5" customHeight="1" x14ac:dyDescent="0.3">
      <c r="A44" s="4"/>
      <c r="B44" s="225" t="s">
        <v>175</v>
      </c>
      <c r="C44" s="226"/>
      <c r="D44" s="229"/>
      <c r="E44" s="231"/>
      <c r="F44" s="12">
        <v>4</v>
      </c>
      <c r="G44" s="226"/>
      <c r="H44" s="195">
        <f>control!W6</f>
        <v>2.5</v>
      </c>
      <c r="I44" s="4"/>
      <c r="J44" s="235"/>
      <c r="K44" s="192" t="str">
        <f>control!X10</f>
        <v>B</v>
      </c>
      <c r="L44" s="4"/>
      <c r="M44" s="4"/>
      <c r="N44" s="4"/>
      <c r="O44" s="4"/>
      <c r="P44" s="4"/>
    </row>
    <row r="45" spans="1:16" ht="3.95" customHeight="1" x14ac:dyDescent="0.3">
      <c r="A45" s="4"/>
      <c r="B45" s="168"/>
      <c r="C45" s="132"/>
      <c r="D45" s="229"/>
      <c r="E45" s="231"/>
      <c r="F45" s="172"/>
      <c r="G45" s="226"/>
      <c r="H45" s="69"/>
      <c r="I45" s="4"/>
      <c r="J45" s="235"/>
      <c r="K45" s="171"/>
      <c r="L45" s="4"/>
      <c r="M45" s="4"/>
      <c r="N45" s="4"/>
      <c r="O45" s="4"/>
      <c r="P45" s="4"/>
    </row>
    <row r="46" spans="1:16" ht="19.5" customHeight="1" x14ac:dyDescent="0.3">
      <c r="A46" s="4"/>
      <c r="B46" s="225" t="s">
        <v>176</v>
      </c>
      <c r="C46" s="226"/>
      <c r="D46" s="229"/>
      <c r="E46" s="231"/>
      <c r="F46" s="12">
        <v>4</v>
      </c>
      <c r="G46" s="226"/>
      <c r="H46" s="153">
        <f>control!W6</f>
        <v>2.5</v>
      </c>
      <c r="I46" s="71"/>
      <c r="J46" s="235"/>
      <c r="K46" s="192" t="str">
        <f>control!Y10</f>
        <v>B</v>
      </c>
      <c r="L46" s="4"/>
      <c r="M46" s="4"/>
      <c r="N46" s="4"/>
      <c r="O46" s="4"/>
      <c r="P46" s="4"/>
    </row>
    <row r="47" spans="1:16" ht="8.1" customHeight="1" x14ac:dyDescent="0.3">
      <c r="A47" s="4"/>
      <c r="B47" s="168"/>
      <c r="C47" s="132"/>
      <c r="D47" s="74"/>
      <c r="E47" s="60"/>
      <c r="F47" s="72"/>
      <c r="G47" s="72"/>
      <c r="H47" s="76"/>
      <c r="I47" s="75"/>
      <c r="J47" s="172"/>
      <c r="K47" s="173"/>
      <c r="L47" s="173"/>
      <c r="M47" s="173"/>
      <c r="N47" s="4"/>
      <c r="O47" s="4"/>
      <c r="P47" s="4"/>
    </row>
    <row r="48" spans="1:16" ht="19.5" customHeight="1" x14ac:dyDescent="0.3">
      <c r="A48" s="4"/>
      <c r="B48" s="233" t="s">
        <v>146</v>
      </c>
      <c r="C48" s="229"/>
      <c r="D48" s="233" t="str">
        <f>IF(control!J6,"вход","вход/выход")</f>
        <v>вход</v>
      </c>
      <c r="E48" s="234"/>
      <c r="F48" s="226"/>
      <c r="G48" s="233" t="s">
        <v>83</v>
      </c>
      <c r="H48" s="226"/>
      <c r="I48" s="282" t="s">
        <v>84</v>
      </c>
      <c r="J48" s="226"/>
      <c r="K48" s="173"/>
      <c r="L48" s="78"/>
      <c r="M48" s="78"/>
      <c r="N48" s="2"/>
      <c r="O48" s="4"/>
      <c r="P48" s="4"/>
    </row>
    <row r="49" spans="1:19" ht="3.95" customHeight="1" x14ac:dyDescent="0.3">
      <c r="A49" s="4"/>
      <c r="B49" s="168"/>
      <c r="C49" s="132"/>
      <c r="D49" s="74"/>
      <c r="E49" s="60"/>
      <c r="F49" s="72"/>
      <c r="G49" s="72"/>
      <c r="H49" s="76"/>
      <c r="I49" s="75"/>
      <c r="J49" s="72"/>
      <c r="K49" s="75"/>
      <c r="L49" s="78"/>
      <c r="M49" s="78"/>
      <c r="N49" s="2"/>
      <c r="O49" s="4"/>
      <c r="P49" s="4"/>
    </row>
    <row r="50" spans="1:19" ht="19.5" customHeight="1" x14ac:dyDescent="0.3">
      <c r="A50" s="4"/>
      <c r="B50" s="225" t="s">
        <v>147</v>
      </c>
      <c r="C50" s="237"/>
      <c r="D50" s="74"/>
      <c r="E50" s="60"/>
      <c r="F50" s="72"/>
      <c r="G50" s="72"/>
      <c r="H50" s="76"/>
      <c r="I50" s="75"/>
      <c r="J50" s="72"/>
      <c r="K50" s="75"/>
      <c r="L50" s="78"/>
      <c r="M50" s="78"/>
      <c r="N50" s="2"/>
      <c r="O50" s="4"/>
      <c r="P50" s="4"/>
    </row>
    <row r="51" spans="1:19" ht="19.5" hidden="1" customHeight="1" x14ac:dyDescent="0.3">
      <c r="A51" s="4"/>
      <c r="B51" s="73"/>
      <c r="C51" s="74"/>
      <c r="D51" s="74"/>
      <c r="E51" s="60"/>
      <c r="F51" s="72"/>
      <c r="G51" s="72"/>
      <c r="H51" s="76"/>
      <c r="I51" s="75"/>
      <c r="J51" s="72"/>
      <c r="K51" s="75"/>
      <c r="L51" s="78"/>
      <c r="M51" s="78"/>
      <c r="N51" s="2"/>
      <c r="O51" s="4"/>
      <c r="P51" s="4"/>
    </row>
    <row r="52" spans="1:19" ht="19.5" customHeight="1" x14ac:dyDescent="0.3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</row>
    <row r="53" spans="1:19" ht="19.5" customHeight="1" x14ac:dyDescent="0.3">
      <c r="A53" s="2"/>
      <c r="B53" s="233" t="s">
        <v>93</v>
      </c>
      <c r="C53" s="235"/>
      <c r="D53" s="4"/>
      <c r="E53" s="71"/>
      <c r="F53" s="236" t="s">
        <v>89</v>
      </c>
      <c r="G53" s="236"/>
      <c r="H53" s="71" t="s">
        <v>90</v>
      </c>
      <c r="I53" s="39">
        <v>44</v>
      </c>
      <c r="J53" s="71" t="s">
        <v>91</v>
      </c>
      <c r="K53" s="12">
        <v>45</v>
      </c>
      <c r="L53" s="71" t="s">
        <v>92</v>
      </c>
      <c r="M53" s="77">
        <f>control!T30</f>
        <v>356</v>
      </c>
      <c r="N53" s="2"/>
      <c r="O53" s="71"/>
      <c r="P53" s="71"/>
    </row>
    <row r="54" spans="1:19" ht="3.9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9" ht="19.5" customHeight="1" x14ac:dyDescent="0.25">
      <c r="A55" s="79"/>
      <c r="B55" s="233" t="s">
        <v>97</v>
      </c>
      <c r="C55" s="234"/>
      <c r="D55" s="12">
        <v>25</v>
      </c>
      <c r="E55" s="79" t="s">
        <v>160</v>
      </c>
      <c r="F55" s="12">
        <v>2</v>
      </c>
      <c r="G55" s="238" t="str">
        <f>control!R23</f>
        <v>Ст20</v>
      </c>
      <c r="H55" s="239"/>
      <c r="I55" s="79"/>
      <c r="J55" s="111"/>
      <c r="K55" s="236" t="str">
        <f>IF(control!M21&lt;&gt;"Биметалл","Материал ленты","")</f>
        <v>Материал ленты</v>
      </c>
      <c r="L55" s="249"/>
      <c r="M55" s="79"/>
      <c r="N55" s="79"/>
      <c r="O55" s="79"/>
      <c r="P55" s="79"/>
    </row>
    <row r="56" spans="1:19" ht="0.75" customHeight="1" x14ac:dyDescent="0.2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</row>
    <row r="57" spans="1:19" s="105" customFormat="1" ht="19.5" hidden="1" customHeight="1" x14ac:dyDescent="0.25">
      <c r="A57" s="102"/>
      <c r="B57" s="101"/>
      <c r="C57" s="104"/>
      <c r="D57" s="102"/>
      <c r="E57" s="102"/>
      <c r="F57" s="102"/>
      <c r="G57" s="102"/>
      <c r="H57" s="102"/>
      <c r="I57" s="102"/>
      <c r="J57" s="102"/>
      <c r="K57" s="76"/>
      <c r="L57" s="102"/>
      <c r="M57" s="102"/>
      <c r="N57" s="102"/>
      <c r="O57" s="102"/>
      <c r="P57" s="102"/>
    </row>
    <row r="58" spans="1:19" s="105" customFormat="1" ht="19.5" customHeight="1" x14ac:dyDescent="0.25">
      <c r="A58" s="102"/>
      <c r="B58" s="102" t="s">
        <v>169</v>
      </c>
      <c r="C58" s="102"/>
      <c r="D58" s="110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S58" s="113"/>
    </row>
    <row r="59" spans="1:19" s="122" customFormat="1" ht="19.5" customHeight="1" x14ac:dyDescent="0.25">
      <c r="A59" s="121"/>
      <c r="B59" s="121"/>
      <c r="C59" s="121"/>
      <c r="D59" s="124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S59" s="113"/>
    </row>
    <row r="60" spans="1:19" s="122" customFormat="1" ht="3.95" customHeight="1" x14ac:dyDescent="0.25">
      <c r="A60" s="121"/>
      <c r="B60" s="121"/>
      <c r="C60" s="121"/>
      <c r="D60" s="124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S60" s="113"/>
    </row>
    <row r="61" spans="1:19" s="105" customFormat="1" ht="19.5" customHeight="1" x14ac:dyDescent="0.25">
      <c r="A61" s="102"/>
      <c r="B61" s="232" t="s">
        <v>180</v>
      </c>
      <c r="C61" s="226"/>
      <c r="D61" s="147" t="str">
        <f>IF(OR(control!Q7,control!R7),"%","")</f>
        <v>%</v>
      </c>
      <c r="E61" s="147" t="str">
        <f>IF(D61="%","мин., шт.","")</f>
        <v>мин., шт.</v>
      </c>
      <c r="F61" s="125"/>
      <c r="G61" s="125" t="str">
        <f>IF(OR(control!S7,control!T7),"%","")</f>
        <v/>
      </c>
      <c r="H61" s="125" t="str">
        <f>IF(G61="%","мин., шт.","")</f>
        <v/>
      </c>
      <c r="I61" s="125"/>
      <c r="J61" s="232"/>
      <c r="K61" s="279"/>
      <c r="L61" s="125"/>
      <c r="M61" s="118"/>
      <c r="N61" s="102"/>
      <c r="O61" s="102"/>
      <c r="P61" s="102"/>
    </row>
    <row r="62" spans="1:19" s="122" customFormat="1" ht="3.95" customHeight="1" x14ac:dyDescent="0.25">
      <c r="A62" s="121"/>
      <c r="B62" s="123"/>
      <c r="C62" s="132"/>
      <c r="D62" s="133"/>
      <c r="E62" s="125"/>
      <c r="F62" s="125"/>
      <c r="G62" s="125"/>
      <c r="H62" s="121"/>
      <c r="I62" s="125"/>
      <c r="J62" s="125"/>
      <c r="K62" s="76"/>
      <c r="L62" s="125"/>
      <c r="M62" s="121"/>
      <c r="N62" s="121"/>
      <c r="O62" s="121"/>
      <c r="P62" s="121"/>
    </row>
    <row r="63" spans="1:19" s="122" customFormat="1" ht="19.5" customHeight="1" x14ac:dyDescent="0.25">
      <c r="A63" s="121"/>
      <c r="B63" s="121"/>
      <c r="C63" s="150"/>
      <c r="D63" s="153"/>
      <c r="E63" s="153"/>
      <c r="F63" s="145"/>
      <c r="G63" s="153"/>
      <c r="H63" s="153"/>
      <c r="I63" s="148"/>
      <c r="J63" s="125"/>
      <c r="K63" s="76"/>
      <c r="L63" s="125"/>
      <c r="M63" s="121"/>
      <c r="N63" s="121"/>
      <c r="O63" s="121"/>
      <c r="P63" s="121"/>
    </row>
    <row r="64" spans="1:19" s="122" customFormat="1" ht="3.95" customHeight="1" x14ac:dyDescent="0.25">
      <c r="A64" s="121"/>
      <c r="B64" s="121"/>
      <c r="C64" s="148"/>
      <c r="D64" s="147"/>
      <c r="E64" s="148"/>
      <c r="F64" s="147"/>
      <c r="G64" s="151"/>
      <c r="H64" s="121"/>
      <c r="I64" s="148"/>
      <c r="J64" s="125"/>
      <c r="K64" s="76"/>
      <c r="L64" s="125"/>
      <c r="M64" s="121"/>
      <c r="N64" s="121"/>
      <c r="O64" s="121"/>
      <c r="P64" s="121"/>
    </row>
    <row r="65" spans="1:16" s="146" customFormat="1" ht="18" customHeight="1" x14ac:dyDescent="0.25">
      <c r="A65" s="143"/>
      <c r="B65" s="143"/>
      <c r="C65" s="149"/>
      <c r="D65" s="223">
        <v>100</v>
      </c>
      <c r="E65" s="223">
        <v>2</v>
      </c>
      <c r="F65" s="145"/>
      <c r="G65" s="153"/>
      <c r="H65" s="153"/>
      <c r="I65" s="149"/>
      <c r="J65" s="147"/>
      <c r="K65" s="76"/>
      <c r="L65" s="147"/>
      <c r="M65" s="143"/>
      <c r="N65" s="143"/>
      <c r="O65" s="143"/>
      <c r="P65" s="143"/>
    </row>
    <row r="66" spans="1:16" s="198" customFormat="1" ht="18" customHeight="1" x14ac:dyDescent="0.25">
      <c r="A66" s="197"/>
      <c r="B66" s="197"/>
      <c r="C66" s="149"/>
      <c r="D66" s="149"/>
      <c r="E66" s="149"/>
      <c r="F66" s="196"/>
      <c r="G66" s="149"/>
      <c r="H66" s="149"/>
      <c r="I66" s="149"/>
      <c r="J66" s="199"/>
      <c r="K66" s="76"/>
      <c r="L66" s="199"/>
      <c r="M66" s="197"/>
      <c r="N66" s="197"/>
      <c r="O66" s="197"/>
      <c r="P66" s="197"/>
    </row>
    <row r="67" spans="1:16" s="198" customFormat="1" ht="18" customHeight="1" x14ac:dyDescent="0.25">
      <c r="A67" s="197"/>
      <c r="B67" s="197"/>
      <c r="C67" s="149"/>
      <c r="D67" s="149"/>
      <c r="E67" s="149"/>
      <c r="F67" s="196"/>
      <c r="G67" s="149"/>
      <c r="H67" s="149"/>
      <c r="I67" s="149"/>
      <c r="J67" s="199"/>
      <c r="K67" s="76"/>
      <c r="L67" s="199"/>
      <c r="M67" s="197"/>
      <c r="N67" s="197"/>
      <c r="O67" s="197"/>
      <c r="P67" s="197"/>
    </row>
    <row r="68" spans="1:16" s="105" customFormat="1" ht="18.75" x14ac:dyDescent="0.25">
      <c r="A68" s="102"/>
      <c r="B68" s="102"/>
      <c r="C68" s="102"/>
      <c r="D68" s="102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</row>
    <row r="69" spans="1:16" ht="18.75" x14ac:dyDescent="0.25">
      <c r="A69" s="118"/>
      <c r="B69" s="119" t="s">
        <v>177</v>
      </c>
      <c r="C69" s="120"/>
      <c r="D69" s="118"/>
      <c r="E69" s="47"/>
      <c r="F69" s="197" t="s">
        <v>41</v>
      </c>
      <c r="G69" s="277" t="s">
        <v>283</v>
      </c>
      <c r="H69" s="278"/>
      <c r="I69" s="118"/>
      <c r="J69" s="118"/>
      <c r="K69" s="118"/>
      <c r="L69" s="118"/>
      <c r="M69" s="118"/>
      <c r="N69" s="118"/>
      <c r="O69" s="118"/>
      <c r="P69" s="118"/>
    </row>
    <row r="70" spans="1:16" ht="18.75" x14ac:dyDescent="0.25">
      <c r="A70" s="118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</row>
    <row r="71" spans="1:16" ht="18.75" x14ac:dyDescent="0.25">
      <c r="A71" s="118"/>
      <c r="B71" s="118"/>
      <c r="C71" s="118"/>
      <c r="D71" s="118"/>
      <c r="E71" s="118"/>
      <c r="F71" s="118"/>
      <c r="G71" s="2"/>
      <c r="H71" s="2"/>
      <c r="I71" s="118"/>
      <c r="J71" s="118"/>
      <c r="K71" s="118"/>
      <c r="L71" s="118"/>
      <c r="M71" s="118"/>
      <c r="N71" s="118"/>
      <c r="O71" s="118"/>
      <c r="P71" s="118"/>
    </row>
    <row r="72" spans="1:16" ht="18.75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</row>
    <row r="118" ht="19.5" customHeight="1" x14ac:dyDescent="0.25"/>
    <row r="123" ht="19.5" customHeight="1" x14ac:dyDescent="0.25"/>
    <row r="128" ht="19.5" customHeight="1" x14ac:dyDescent="0.25"/>
    <row r="5019" ht="19.5" customHeight="1" x14ac:dyDescent="0.25"/>
    <row r="5020" ht="19.5" customHeight="1" x14ac:dyDescent="0.25"/>
  </sheetData>
  <mergeCells count="58">
    <mergeCell ref="K23:L25"/>
    <mergeCell ref="B38:D38"/>
    <mergeCell ref="J38:L38"/>
    <mergeCell ref="E31:F31"/>
    <mergeCell ref="B31:C31"/>
    <mergeCell ref="B29:E29"/>
    <mergeCell ref="G69:H69"/>
    <mergeCell ref="J61:K61"/>
    <mergeCell ref="K55:L55"/>
    <mergeCell ref="F38:G38"/>
    <mergeCell ref="J31:L31"/>
    <mergeCell ref="G42:G46"/>
    <mergeCell ref="J42:J46"/>
    <mergeCell ref="D48:F48"/>
    <mergeCell ref="G48:H48"/>
    <mergeCell ref="I48:J48"/>
    <mergeCell ref="B2:P2"/>
    <mergeCell ref="L6:N6"/>
    <mergeCell ref="H6:J6"/>
    <mergeCell ref="K4:L4"/>
    <mergeCell ref="K5:O5"/>
    <mergeCell ref="B5:C5"/>
    <mergeCell ref="H5:I5"/>
    <mergeCell ref="M4:N4"/>
    <mergeCell ref="B22:E22"/>
    <mergeCell ref="B28:E28"/>
    <mergeCell ref="G17:H17"/>
    <mergeCell ref="B17:C17"/>
    <mergeCell ref="B23:E23"/>
    <mergeCell ref="B24:E24"/>
    <mergeCell ref="B25:E25"/>
    <mergeCell ref="G23:I25"/>
    <mergeCell ref="B11:D11"/>
    <mergeCell ref="H7:J7"/>
    <mergeCell ref="G11:J11"/>
    <mergeCell ref="K9:L9"/>
    <mergeCell ref="B19:E19"/>
    <mergeCell ref="E15:G15"/>
    <mergeCell ref="J15:L15"/>
    <mergeCell ref="B15:C15"/>
    <mergeCell ref="J17:K17"/>
    <mergeCell ref="B13:D13"/>
    <mergeCell ref="G19:I21"/>
    <mergeCell ref="K19:L21"/>
    <mergeCell ref="B20:E20"/>
    <mergeCell ref="B21:E21"/>
    <mergeCell ref="B61:C61"/>
    <mergeCell ref="B55:C55"/>
    <mergeCell ref="B53:C53"/>
    <mergeCell ref="F53:G53"/>
    <mergeCell ref="B48:C48"/>
    <mergeCell ref="B50:C50"/>
    <mergeCell ref="G55:H55"/>
    <mergeCell ref="B44:C44"/>
    <mergeCell ref="B42:C42"/>
    <mergeCell ref="B46:C46"/>
    <mergeCell ref="D42:D46"/>
    <mergeCell ref="E42:E4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84" r:id="rId4" name="fl_btn_17">
          <controlPr defaultSize="0" autoLine="0" linkedCell="control!T67" listFillRange="control!F9:M11" r:id="rId5">
            <anchor moveWithCells="1">
              <from>
                <xdr:col>8</xdr:col>
                <xdr:colOff>600075</xdr:colOff>
                <xdr:row>47</xdr:row>
                <xdr:rowOff>0</xdr:rowOff>
              </from>
              <to>
                <xdr:col>9</xdr:col>
                <xdr:colOff>685800</xdr:colOff>
                <xdr:row>48</xdr:row>
                <xdr:rowOff>9525</xdr:rowOff>
              </to>
            </anchor>
          </controlPr>
        </control>
      </mc:Choice>
      <mc:Fallback>
        <control shapeId="1184" r:id="rId4" name="fl_btn_17"/>
      </mc:Fallback>
    </mc:AlternateContent>
    <mc:AlternateContent xmlns:mc="http://schemas.openxmlformats.org/markup-compatibility/2006">
      <mc:Choice Requires="x14">
        <control shapeId="1183" r:id="rId6" name="fl_btn_16">
          <controlPr defaultSize="0" autoLine="0" linkedCell="control!S67" listFillRange="control!F9:M11" r:id="rId7">
            <anchor moveWithCells="1">
              <from>
                <xdr:col>6</xdr:col>
                <xdr:colOff>609600</xdr:colOff>
                <xdr:row>47</xdr:row>
                <xdr:rowOff>0</xdr:rowOff>
              </from>
              <to>
                <xdr:col>7</xdr:col>
                <xdr:colOff>762000</xdr:colOff>
                <xdr:row>48</xdr:row>
                <xdr:rowOff>19050</xdr:rowOff>
              </to>
            </anchor>
          </controlPr>
        </control>
      </mc:Choice>
      <mc:Fallback>
        <control shapeId="1183" r:id="rId6" name="fl_btn_16"/>
      </mc:Fallback>
    </mc:AlternateContent>
    <mc:AlternateContent xmlns:mc="http://schemas.openxmlformats.org/markup-compatibility/2006">
      <mc:Choice Requires="x14">
        <control shapeId="1182" r:id="rId8" name="fl_btn_13">
          <controlPr defaultSize="0" autoLine="0" linkedCell="control!Y9" r:id="rId9">
            <anchor>
              <from>
                <xdr:col>9</xdr:col>
                <xdr:colOff>371475</xdr:colOff>
                <xdr:row>44</xdr:row>
                <xdr:rowOff>38100</xdr:rowOff>
              </from>
              <to>
                <xdr:col>10</xdr:col>
                <xdr:colOff>57150</xdr:colOff>
                <xdr:row>45</xdr:row>
                <xdr:rowOff>238125</xdr:rowOff>
              </to>
            </anchor>
          </controlPr>
        </control>
      </mc:Choice>
      <mc:Fallback>
        <control shapeId="1182" r:id="rId8" name="fl_btn_13"/>
      </mc:Fallback>
    </mc:AlternateContent>
    <mc:AlternateContent xmlns:mc="http://schemas.openxmlformats.org/markup-compatibility/2006">
      <mc:Choice Requires="x14">
        <control shapeId="1181" r:id="rId10" name="fl_btn_8">
          <controlPr defaultSize="0" autoLine="0" linkedCell="control!X9" r:id="rId11">
            <anchor>
              <from>
                <xdr:col>9</xdr:col>
                <xdr:colOff>371475</xdr:colOff>
                <xdr:row>42</xdr:row>
                <xdr:rowOff>38100</xdr:rowOff>
              </from>
              <to>
                <xdr:col>10</xdr:col>
                <xdr:colOff>57150</xdr:colOff>
                <xdr:row>44</xdr:row>
                <xdr:rowOff>0</xdr:rowOff>
              </to>
            </anchor>
          </controlPr>
        </control>
      </mc:Choice>
      <mc:Fallback>
        <control shapeId="1181" r:id="rId10" name="fl_btn_8"/>
      </mc:Fallback>
    </mc:AlternateContent>
    <mc:AlternateContent xmlns:mc="http://schemas.openxmlformats.org/markup-compatibility/2006">
      <mc:Choice Requires="x14">
        <control shapeId="1179" r:id="rId12" name="fl_btn_12">
          <controlPr defaultSize="0" autoLine="0" linkedCell="control!Y11" listFillRange="control!F4:F6" r:id="rId13">
            <anchor>
              <from>
                <xdr:col>10</xdr:col>
                <xdr:colOff>114300</xdr:colOff>
                <xdr:row>44</xdr:row>
                <xdr:rowOff>38100</xdr:rowOff>
              </from>
              <to>
                <xdr:col>10</xdr:col>
                <xdr:colOff>790575</xdr:colOff>
                <xdr:row>46</xdr:row>
                <xdr:rowOff>0</xdr:rowOff>
              </to>
            </anchor>
          </controlPr>
        </control>
      </mc:Choice>
      <mc:Fallback>
        <control shapeId="1179" r:id="rId12" name="fl_btn_12"/>
      </mc:Fallback>
    </mc:AlternateContent>
    <mc:AlternateContent xmlns:mc="http://schemas.openxmlformats.org/markup-compatibility/2006">
      <mc:Choice Requires="x14">
        <control shapeId="1178" r:id="rId14" name="fl_btn_7">
          <controlPr defaultSize="0" autoLine="0" linkedCell="control!X11" listFillRange="control!F4:F6" r:id="rId15">
            <anchor>
              <from>
                <xdr:col>10</xdr:col>
                <xdr:colOff>114300</xdr:colOff>
                <xdr:row>42</xdr:row>
                <xdr:rowOff>38100</xdr:rowOff>
              </from>
              <to>
                <xdr:col>10</xdr:col>
                <xdr:colOff>790575</xdr:colOff>
                <xdr:row>44</xdr:row>
                <xdr:rowOff>0</xdr:rowOff>
              </to>
            </anchor>
          </controlPr>
        </control>
      </mc:Choice>
      <mc:Fallback>
        <control shapeId="1178" r:id="rId14" name="fl_btn_7"/>
      </mc:Fallback>
    </mc:AlternateContent>
    <mc:AlternateContent xmlns:mc="http://schemas.openxmlformats.org/markup-compatibility/2006">
      <mc:Choice Requires="x14">
        <control shapeId="1177" r:id="rId16" name="fl_btn_11">
          <controlPr defaultSize="0" autoLine="0" linkedCell="control!Y1" r:id="rId17">
            <anchor>
              <from>
                <xdr:col>8</xdr:col>
                <xdr:colOff>28575</xdr:colOff>
                <xdr:row>44</xdr:row>
                <xdr:rowOff>38100</xdr:rowOff>
              </from>
              <to>
                <xdr:col>8</xdr:col>
                <xdr:colOff>752475</xdr:colOff>
                <xdr:row>46</xdr:row>
                <xdr:rowOff>0</xdr:rowOff>
              </to>
            </anchor>
          </controlPr>
        </control>
      </mc:Choice>
      <mc:Fallback>
        <control shapeId="1177" r:id="rId16" name="fl_btn_11"/>
      </mc:Fallback>
    </mc:AlternateContent>
    <mc:AlternateContent xmlns:mc="http://schemas.openxmlformats.org/markup-compatibility/2006">
      <mc:Choice Requires="x14">
        <control shapeId="1176" r:id="rId18" name="fl_btn_6">
          <controlPr defaultSize="0" autoLine="0" linkedCell="control!X1" r:id="rId19">
            <anchor>
              <from>
                <xdr:col>8</xdr:col>
                <xdr:colOff>28575</xdr:colOff>
                <xdr:row>42</xdr:row>
                <xdr:rowOff>38100</xdr:rowOff>
              </from>
              <to>
                <xdr:col>8</xdr:col>
                <xdr:colOff>752475</xdr:colOff>
                <xdr:row>44</xdr:row>
                <xdr:rowOff>0</xdr:rowOff>
              </to>
            </anchor>
          </controlPr>
        </control>
      </mc:Choice>
      <mc:Fallback>
        <control shapeId="1176" r:id="rId18" name="fl_btn_6"/>
      </mc:Fallback>
    </mc:AlternateContent>
    <mc:AlternateContent xmlns:mc="http://schemas.openxmlformats.org/markup-compatibility/2006">
      <mc:Choice Requires="x14">
        <control shapeId="1174" r:id="rId20" name="main_btn_10">
          <controlPr defaultSize="0" autoLine="0" linkedCell="control!A11" r:id="rId21">
            <anchor>
              <from>
                <xdr:col>12</xdr:col>
                <xdr:colOff>523875</xdr:colOff>
                <xdr:row>7</xdr:row>
                <xdr:rowOff>238125</xdr:rowOff>
              </from>
              <to>
                <xdr:col>13</xdr:col>
                <xdr:colOff>485775</xdr:colOff>
                <xdr:row>9</xdr:row>
                <xdr:rowOff>9525</xdr:rowOff>
              </to>
            </anchor>
          </controlPr>
        </control>
      </mc:Choice>
      <mc:Fallback>
        <control shapeId="1174" r:id="rId20" name="main_btn_10"/>
      </mc:Fallback>
    </mc:AlternateContent>
    <mc:AlternateContent xmlns:mc="http://schemas.openxmlformats.org/markup-compatibility/2006">
      <mc:Choice Requires="x14">
        <control shapeId="1167" r:id="rId22" name="ComboBox26">
          <controlPr defaultSize="0" autoLine="0" linkedCell="control!D13" listFillRange="control!D14:D15" r:id="rId23">
            <anchor moveWithCells="1">
              <from>
                <xdr:col>2</xdr:col>
                <xdr:colOff>57150</xdr:colOff>
                <xdr:row>68</xdr:row>
                <xdr:rowOff>0</xdr:rowOff>
              </from>
              <to>
                <xdr:col>4</xdr:col>
                <xdr:colOff>438150</xdr:colOff>
                <xdr:row>69</xdr:row>
                <xdr:rowOff>19050</xdr:rowOff>
              </to>
            </anchor>
          </controlPr>
        </control>
      </mc:Choice>
      <mc:Fallback>
        <control shapeId="1167" r:id="rId22" name="ComboBox26"/>
      </mc:Fallback>
    </mc:AlternateContent>
    <mc:AlternateContent xmlns:mc="http://schemas.openxmlformats.org/markup-compatibility/2006">
      <mc:Choice Requires="x14">
        <control shapeId="1165" r:id="rId24" name="zip_btn_1">
          <controlPr defaultSize="0" autoLine="0" r:id="rId25">
            <anchor moveWithCells="1">
              <from>
                <xdr:col>1</xdr:col>
                <xdr:colOff>57150</xdr:colOff>
                <xdr:row>57</xdr:row>
                <xdr:rowOff>228600</xdr:rowOff>
              </from>
              <to>
                <xdr:col>2</xdr:col>
                <xdr:colOff>276225</xdr:colOff>
                <xdr:row>59</xdr:row>
                <xdr:rowOff>0</xdr:rowOff>
              </to>
            </anchor>
          </controlPr>
        </control>
      </mc:Choice>
      <mc:Fallback>
        <control shapeId="1165" r:id="rId24" name="zip_btn_1"/>
      </mc:Fallback>
    </mc:AlternateContent>
    <mc:AlternateContent xmlns:mc="http://schemas.openxmlformats.org/markup-compatibility/2006">
      <mc:Choice Requires="x14">
        <control shapeId="1164" r:id="rId26" name="zip_btn_3">
          <controlPr defaultSize="0" autoLine="0" r:id="rId27">
            <anchor moveWithCells="1">
              <from>
                <xdr:col>5</xdr:col>
                <xdr:colOff>152400</xdr:colOff>
                <xdr:row>57</xdr:row>
                <xdr:rowOff>228600</xdr:rowOff>
              </from>
              <to>
                <xdr:col>7</xdr:col>
                <xdr:colOff>657225</xdr:colOff>
                <xdr:row>59</xdr:row>
                <xdr:rowOff>9525</xdr:rowOff>
              </to>
            </anchor>
          </controlPr>
        </control>
      </mc:Choice>
      <mc:Fallback>
        <control shapeId="1164" r:id="rId26" name="zip_btn_3"/>
      </mc:Fallback>
    </mc:AlternateContent>
    <mc:AlternateContent xmlns:mc="http://schemas.openxmlformats.org/markup-compatibility/2006">
      <mc:Choice Requires="x14">
        <control shapeId="1163" r:id="rId28" name="zip_btn_2">
          <controlPr defaultSize="0" autoLine="0" r:id="rId29">
            <anchor moveWithCells="1">
              <from>
                <xdr:col>2</xdr:col>
                <xdr:colOff>381000</xdr:colOff>
                <xdr:row>57</xdr:row>
                <xdr:rowOff>228600</xdr:rowOff>
              </from>
              <to>
                <xdr:col>5</xdr:col>
                <xdr:colOff>85725</xdr:colOff>
                <xdr:row>59</xdr:row>
                <xdr:rowOff>9525</xdr:rowOff>
              </to>
            </anchor>
          </controlPr>
        </control>
      </mc:Choice>
      <mc:Fallback>
        <control shapeId="1163" r:id="rId28" name="zip_btn_2"/>
      </mc:Fallback>
    </mc:AlternateContent>
    <mc:AlternateContent xmlns:mc="http://schemas.openxmlformats.org/markup-compatibility/2006">
      <mc:Choice Requires="x14">
        <control shapeId="1135" r:id="rId30" name="fl_btn_10">
          <controlPr defaultSize="0" autoLine="0" linkedCell="control!L8" listFillRange="control!I18:I27" r:id="rId31">
            <anchor>
              <from>
                <xdr:col>3</xdr:col>
                <xdr:colOff>314325</xdr:colOff>
                <xdr:row>44</xdr:row>
                <xdr:rowOff>38100</xdr:rowOff>
              </from>
              <to>
                <xdr:col>4</xdr:col>
                <xdr:colOff>152400</xdr:colOff>
                <xdr:row>46</xdr:row>
                <xdr:rowOff>9525</xdr:rowOff>
              </to>
            </anchor>
          </controlPr>
        </control>
      </mc:Choice>
      <mc:Fallback>
        <control shapeId="1135" r:id="rId30" name="fl_btn_10"/>
      </mc:Fallback>
    </mc:AlternateContent>
    <mc:AlternateContent xmlns:mc="http://schemas.openxmlformats.org/markup-compatibility/2006">
      <mc:Choice Requires="x14">
        <control shapeId="1134" r:id="rId32" name="fl_btn_5">
          <controlPr defaultSize="0" autoLine="0" linkedCell="control!K8" listFillRange="control!I18:I27" r:id="rId33">
            <anchor>
              <from>
                <xdr:col>3</xdr:col>
                <xdr:colOff>314325</xdr:colOff>
                <xdr:row>42</xdr:row>
                <xdr:rowOff>38100</xdr:rowOff>
              </from>
              <to>
                <xdr:col>4</xdr:col>
                <xdr:colOff>152400</xdr:colOff>
                <xdr:row>44</xdr:row>
                <xdr:rowOff>19050</xdr:rowOff>
              </to>
            </anchor>
          </controlPr>
        </control>
      </mc:Choice>
      <mc:Fallback>
        <control shapeId="1134" r:id="rId32" name="fl_btn_5"/>
      </mc:Fallback>
    </mc:AlternateContent>
    <mc:AlternateContent xmlns:mc="http://schemas.openxmlformats.org/markup-compatibility/2006">
      <mc:Choice Requires="x14">
        <control shapeId="1133" r:id="rId34" name="fl_btn_14">
          <controlPr defaultSize="0" autoLine="0" linkedCell="control!O8" listFillRange="control!M11:M16" r:id="rId35">
            <anchor>
              <from>
                <xdr:col>10</xdr:col>
                <xdr:colOff>866775</xdr:colOff>
                <xdr:row>44</xdr:row>
                <xdr:rowOff>38100</xdr:rowOff>
              </from>
              <to>
                <xdr:col>12</xdr:col>
                <xdr:colOff>676275</xdr:colOff>
                <xdr:row>46</xdr:row>
                <xdr:rowOff>0</xdr:rowOff>
              </to>
            </anchor>
          </controlPr>
        </control>
      </mc:Choice>
      <mc:Fallback>
        <control shapeId="1133" r:id="rId34" name="fl_btn_14"/>
      </mc:Fallback>
    </mc:AlternateContent>
    <mc:AlternateContent xmlns:mc="http://schemas.openxmlformats.org/markup-compatibility/2006">
      <mc:Choice Requires="x14">
        <control shapeId="1126" r:id="rId36" name="tube_btn_1">
          <controlPr defaultSize="0" autoLine="0" linkedCell="control!M21" listFillRange="control!M22:M24" r:id="rId37">
            <anchor moveWithCells="1">
              <from>
                <xdr:col>2</xdr:col>
                <xdr:colOff>314325</xdr:colOff>
                <xdr:row>51</xdr:row>
                <xdr:rowOff>228600</xdr:rowOff>
              </from>
              <to>
                <xdr:col>4</xdr:col>
                <xdr:colOff>371475</xdr:colOff>
                <xdr:row>53</xdr:row>
                <xdr:rowOff>9525</xdr:rowOff>
              </to>
            </anchor>
          </controlPr>
        </control>
      </mc:Choice>
      <mc:Fallback>
        <control shapeId="1126" r:id="rId36" name="tube_btn_1"/>
      </mc:Fallback>
    </mc:AlternateContent>
    <mc:AlternateContent xmlns:mc="http://schemas.openxmlformats.org/markup-compatibility/2006">
      <mc:Choice Requires="x14">
        <control shapeId="1099" r:id="rId38" name="fl_btn_9">
          <controlPr defaultSize="0" autoLine="0" linkedCell="control!N8" listFillRange="control!M11:M16" r:id="rId39">
            <anchor>
              <from>
                <xdr:col>10</xdr:col>
                <xdr:colOff>866775</xdr:colOff>
                <xdr:row>42</xdr:row>
                <xdr:rowOff>38100</xdr:rowOff>
              </from>
              <to>
                <xdr:col>12</xdr:col>
                <xdr:colOff>685800</xdr:colOff>
                <xdr:row>44</xdr:row>
                <xdr:rowOff>19050</xdr:rowOff>
              </to>
            </anchor>
          </controlPr>
        </control>
      </mc:Choice>
      <mc:Fallback>
        <control shapeId="1099" r:id="rId38" name="fl_btn_9"/>
      </mc:Fallback>
    </mc:AlternateContent>
    <mc:AlternateContent xmlns:mc="http://schemas.openxmlformats.org/markup-compatibility/2006">
      <mc:Choice Requires="x14">
        <control shapeId="1098" r:id="rId40" name="fl_btn_4">
          <controlPr defaultSize="0" autoLine="0" linkedCell="control!M8" listFillRange="control!M11:M16" r:id="rId41">
            <anchor moveWithCells="1">
              <from>
                <xdr:col>10</xdr:col>
                <xdr:colOff>866775</xdr:colOff>
                <xdr:row>40</xdr:row>
                <xdr:rowOff>85725</xdr:rowOff>
              </from>
              <to>
                <xdr:col>12</xdr:col>
                <xdr:colOff>676275</xdr:colOff>
                <xdr:row>42</xdr:row>
                <xdr:rowOff>9525</xdr:rowOff>
              </to>
            </anchor>
          </controlPr>
        </control>
      </mc:Choice>
      <mc:Fallback>
        <control shapeId="1098" r:id="rId40" name="fl_btn_4"/>
      </mc:Fallback>
    </mc:AlternateContent>
    <mc:AlternateContent xmlns:mc="http://schemas.openxmlformats.org/markup-compatibility/2006">
      <mc:Choice Requires="x14">
        <control shapeId="1062" r:id="rId42" name="box_btn_5">
          <controlPr defaultSize="0" autoLine="0" linkedCell="control!R1" r:id="rId43">
            <anchor moveWithCells="1">
              <from>
                <xdr:col>10</xdr:col>
                <xdr:colOff>438150</xdr:colOff>
                <xdr:row>12</xdr:row>
                <xdr:rowOff>0</xdr:rowOff>
              </from>
              <to>
                <xdr:col>12</xdr:col>
                <xdr:colOff>114300</xdr:colOff>
                <xdr:row>13</xdr:row>
                <xdr:rowOff>19050</xdr:rowOff>
              </to>
            </anchor>
          </controlPr>
        </control>
      </mc:Choice>
      <mc:Fallback>
        <control shapeId="1062" r:id="rId42" name="box_btn_5"/>
      </mc:Fallback>
    </mc:AlternateContent>
    <mc:AlternateContent xmlns:mc="http://schemas.openxmlformats.org/markup-compatibility/2006">
      <mc:Choice Requires="x14">
        <control shapeId="1059" r:id="rId44" name="box_btn_4">
          <controlPr defaultSize="0" autoLine="0" linkedCell="control!Q1" r:id="rId45">
            <anchor moveWithCells="1">
              <from>
                <xdr:col>8</xdr:col>
                <xdr:colOff>323850</xdr:colOff>
                <xdr:row>12</xdr:row>
                <xdr:rowOff>0</xdr:rowOff>
              </from>
              <to>
                <xdr:col>9</xdr:col>
                <xdr:colOff>800100</xdr:colOff>
                <xdr:row>13</xdr:row>
                <xdr:rowOff>19050</xdr:rowOff>
              </to>
            </anchor>
          </controlPr>
        </control>
      </mc:Choice>
      <mc:Fallback>
        <control shapeId="1059" r:id="rId44" name="box_btn_4"/>
      </mc:Fallback>
    </mc:AlternateContent>
    <mc:AlternateContent xmlns:mc="http://schemas.openxmlformats.org/markup-compatibility/2006">
      <mc:Choice Requires="x14">
        <control shapeId="1058" r:id="rId46" name="box_btn_3">
          <controlPr defaultSize="0" autoLine="0" linkedCell="control!P1" listFillRange="control!P2:P3" r:id="rId47">
            <anchor moveWithCells="1">
              <from>
                <xdr:col>2</xdr:col>
                <xdr:colOff>381000</xdr:colOff>
                <xdr:row>11</xdr:row>
                <xdr:rowOff>76200</xdr:rowOff>
              </from>
              <to>
                <xdr:col>4</xdr:col>
                <xdr:colOff>438150</xdr:colOff>
                <xdr:row>13</xdr:row>
                <xdr:rowOff>0</xdr:rowOff>
              </to>
            </anchor>
          </controlPr>
        </control>
      </mc:Choice>
      <mc:Fallback>
        <control shapeId="1058" r:id="rId46" name="box_btn_3"/>
      </mc:Fallback>
    </mc:AlternateContent>
    <mc:AlternateContent xmlns:mc="http://schemas.openxmlformats.org/markup-compatibility/2006">
      <mc:Choice Requires="x14">
        <control shapeId="1039" r:id="rId48" name="main_btn_7">
          <controlPr defaultSize="0" autoLine="0" linkedCell="control!F1" listFillRange="control!E2:E17" r:id="rId49">
            <anchor moveWithCells="1">
              <from>
                <xdr:col>7</xdr:col>
                <xdr:colOff>457200</xdr:colOff>
                <xdr:row>8</xdr:row>
                <xdr:rowOff>19050</xdr:rowOff>
              </from>
              <to>
                <xdr:col>8</xdr:col>
                <xdr:colOff>247650</xdr:colOff>
                <xdr:row>9</xdr:row>
                <xdr:rowOff>28575</xdr:rowOff>
              </to>
            </anchor>
          </controlPr>
        </control>
      </mc:Choice>
      <mc:Fallback>
        <control shapeId="1039" r:id="rId48" name="main_btn_7"/>
      </mc:Fallback>
    </mc:AlternateContent>
    <mc:AlternateContent xmlns:mc="http://schemas.openxmlformats.org/markup-compatibility/2006">
      <mc:Choice Requires="x14">
        <control shapeId="1038" r:id="rId50" name="main_btn_6">
          <controlPr defaultSize="0" autoLine="0" linkedCell="control!E1" listFillRange="control!E2:E10" r:id="rId51">
            <anchor>
              <from>
                <xdr:col>6</xdr:col>
                <xdr:colOff>457200</xdr:colOff>
                <xdr:row>8</xdr:row>
                <xdr:rowOff>9525</xdr:rowOff>
              </from>
              <to>
                <xdr:col>7</xdr:col>
                <xdr:colOff>419100</xdr:colOff>
                <xdr:row>9</xdr:row>
                <xdr:rowOff>28575</xdr:rowOff>
              </to>
            </anchor>
          </controlPr>
        </control>
      </mc:Choice>
      <mc:Fallback>
        <control shapeId="1038" r:id="rId50" name="main_btn_6"/>
      </mc:Fallback>
    </mc:AlternateContent>
    <mc:AlternateContent xmlns:mc="http://schemas.openxmlformats.org/markup-compatibility/2006">
      <mc:Choice Requires="x14">
        <control shapeId="1036" r:id="rId52" name="main_btn_5">
          <controlPr defaultSize="0" autoLine="0" linkedCell="control!D1" listFillRange="control!D2:D10" r:id="rId53">
            <anchor>
              <from>
                <xdr:col>5</xdr:col>
                <xdr:colOff>476250</xdr:colOff>
                <xdr:row>8</xdr:row>
                <xdr:rowOff>0</xdr:rowOff>
              </from>
              <to>
                <xdr:col>6</xdr:col>
                <xdr:colOff>400050</xdr:colOff>
                <xdr:row>9</xdr:row>
                <xdr:rowOff>19050</xdr:rowOff>
              </to>
            </anchor>
          </controlPr>
        </control>
      </mc:Choice>
      <mc:Fallback>
        <control shapeId="1036" r:id="rId52" name="main_btn_5"/>
      </mc:Fallback>
    </mc:AlternateContent>
    <mc:AlternateContent xmlns:mc="http://schemas.openxmlformats.org/markup-compatibility/2006">
      <mc:Choice Requires="x14">
        <control shapeId="1035" r:id="rId54" name="main_btn_4">
          <controlPr defaultSize="0" autoLine="0" linkedCell="control!C1" listFillRange="control!C2:C10" r:id="rId55">
            <anchor>
              <from>
                <xdr:col>4</xdr:col>
                <xdr:colOff>381000</xdr:colOff>
                <xdr:row>8</xdr:row>
                <xdr:rowOff>0</xdr:rowOff>
              </from>
              <to>
                <xdr:col>5</xdr:col>
                <xdr:colOff>428625</xdr:colOff>
                <xdr:row>9</xdr:row>
                <xdr:rowOff>19050</xdr:rowOff>
              </to>
            </anchor>
          </controlPr>
        </control>
      </mc:Choice>
      <mc:Fallback>
        <control shapeId="1035" r:id="rId54" name="main_btn_4"/>
      </mc:Fallback>
    </mc:AlternateContent>
    <mc:AlternateContent xmlns:mc="http://schemas.openxmlformats.org/markup-compatibility/2006">
      <mc:Choice Requires="x14">
        <control shapeId="1034" r:id="rId56" name="main_btn_3">
          <controlPr defaultSize="0" autoLine="0" linkedCell="control!J2" r:id="rId57">
            <anchor>
              <from>
                <xdr:col>3</xdr:col>
                <xdr:colOff>257175</xdr:colOff>
                <xdr:row>8</xdr:row>
                <xdr:rowOff>0</xdr:rowOff>
              </from>
              <to>
                <xdr:col>4</xdr:col>
                <xdr:colOff>314325</xdr:colOff>
                <xdr:row>9</xdr:row>
                <xdr:rowOff>19050</xdr:rowOff>
              </to>
            </anchor>
          </controlPr>
        </control>
      </mc:Choice>
      <mc:Fallback>
        <control shapeId="1034" r:id="rId56" name="main_btn_3"/>
      </mc:Fallback>
    </mc:AlternateContent>
    <mc:AlternateContent xmlns:mc="http://schemas.openxmlformats.org/markup-compatibility/2006">
      <mc:Choice Requires="x14">
        <control shapeId="1031" r:id="rId58" name="main_btn_2">
          <controlPr defaultSize="0" autoLine="0" linkedCell="control!B1" listFillRange="control!B2:B5" r:id="rId59">
            <anchor>
              <from>
                <xdr:col>2</xdr:col>
                <xdr:colOff>190500</xdr:colOff>
                <xdr:row>8</xdr:row>
                <xdr:rowOff>0</xdr:rowOff>
              </from>
              <to>
                <xdr:col>3</xdr:col>
                <xdr:colOff>209550</xdr:colOff>
                <xdr:row>9</xdr:row>
                <xdr:rowOff>19050</xdr:rowOff>
              </to>
            </anchor>
          </controlPr>
        </control>
      </mc:Choice>
      <mc:Fallback>
        <control shapeId="1031" r:id="rId58" name="main_btn_2"/>
      </mc:Fallback>
    </mc:AlternateContent>
    <mc:AlternateContent xmlns:mc="http://schemas.openxmlformats.org/markup-compatibility/2006">
      <mc:Choice Requires="x14">
        <control shapeId="1029" r:id="rId60" name="main_btn_1">
          <controlPr defaultSize="0" autoLine="0" linkedCell="control!A1" listFillRange="control!A2:A5" r:id="rId61">
            <anchor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152400</xdr:colOff>
                <xdr:row>9</xdr:row>
                <xdr:rowOff>19050</xdr:rowOff>
              </to>
            </anchor>
          </controlPr>
        </control>
      </mc:Choice>
      <mc:Fallback>
        <control shapeId="1029" r:id="rId60" name="main_btn_1"/>
      </mc:Fallback>
    </mc:AlternateContent>
    <mc:AlternateContent xmlns:mc="http://schemas.openxmlformats.org/markup-compatibility/2006">
      <mc:Choice Requires="x14">
        <control shapeId="1041" r:id="rId62" name="main_btn_8">
          <controlPr defaultSize="0" autoLine="0" linkedCell="control!G1" listFillRange="control!E2:E17" r:id="rId63">
            <anchor>
              <from>
                <xdr:col>8</xdr:col>
                <xdr:colOff>276225</xdr:colOff>
                <xdr:row>8</xdr:row>
                <xdr:rowOff>19050</xdr:rowOff>
              </from>
              <to>
                <xdr:col>9</xdr:col>
                <xdr:colOff>171450</xdr:colOff>
                <xdr:row>9</xdr:row>
                <xdr:rowOff>38100</xdr:rowOff>
              </to>
            </anchor>
          </controlPr>
        </control>
      </mc:Choice>
      <mc:Fallback>
        <control shapeId="1041" r:id="rId62" name="main_btn_8"/>
      </mc:Fallback>
    </mc:AlternateContent>
    <mc:AlternateContent xmlns:mc="http://schemas.openxmlformats.org/markup-compatibility/2006">
      <mc:Choice Requires="x14">
        <control shapeId="1043" r:id="rId64" name="main_btn_9">
          <controlPr defaultSize="0" autoLine="0" linkedCell="control!H1" listFillRange="control!H2:H7" r:id="rId65">
            <anchor>
              <from>
                <xdr:col>9</xdr:col>
                <xdr:colOff>219075</xdr:colOff>
                <xdr:row>8</xdr:row>
                <xdr:rowOff>19050</xdr:rowOff>
              </from>
              <to>
                <xdr:col>9</xdr:col>
                <xdr:colOff>990600</xdr:colOff>
                <xdr:row>9</xdr:row>
                <xdr:rowOff>38100</xdr:rowOff>
              </to>
            </anchor>
          </controlPr>
        </control>
      </mc:Choice>
      <mc:Fallback>
        <control shapeId="1043" r:id="rId64" name="main_btn_9"/>
      </mc:Fallback>
    </mc:AlternateContent>
    <mc:AlternateContent xmlns:mc="http://schemas.openxmlformats.org/markup-compatibility/2006">
      <mc:Choice Requires="x14">
        <control shapeId="1045" r:id="rId66" name="header_btn_1">
          <controlPr defaultSize="0" autoLine="0" linkedCell="control!I1" listFillRange="control!I2:I4" r:id="rId67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11</xdr:col>
                <xdr:colOff>647700</xdr:colOff>
                <xdr:row>7</xdr:row>
                <xdr:rowOff>19050</xdr:rowOff>
              </to>
            </anchor>
          </controlPr>
        </control>
      </mc:Choice>
      <mc:Fallback>
        <control shapeId="1045" r:id="rId66" name="header_btn_1"/>
      </mc:Fallback>
    </mc:AlternateContent>
    <mc:AlternateContent xmlns:mc="http://schemas.openxmlformats.org/markup-compatibility/2006">
      <mc:Choice Requires="x14">
        <control shapeId="1047" r:id="rId68" name="box_btn_1">
          <controlPr defaultSize="0" autoLine="0" linkedCell="control!O1" r:id="rId69">
            <anchor moveWithCells="1">
              <from>
                <xdr:col>4</xdr:col>
                <xdr:colOff>19050</xdr:colOff>
                <xdr:row>9</xdr:row>
                <xdr:rowOff>219075</xdr:rowOff>
              </from>
              <to>
                <xdr:col>5</xdr:col>
                <xdr:colOff>533400</xdr:colOff>
                <xdr:row>10</xdr:row>
                <xdr:rowOff>238125</xdr:rowOff>
              </to>
            </anchor>
          </controlPr>
        </control>
      </mc:Choice>
      <mc:Fallback>
        <control shapeId="1047" r:id="rId68" name="box_btn_1"/>
      </mc:Fallback>
    </mc:AlternateContent>
    <mc:AlternateContent xmlns:mc="http://schemas.openxmlformats.org/markup-compatibility/2006">
      <mc:Choice Requires="x14">
        <control shapeId="1065" r:id="rId70" name="box_btn_6">
          <controlPr defaultSize="0" autoLine="0" linkedCell="control!S4" listFillRange="control!E3:E4" r:id="rId71">
            <anchor>
              <from>
                <xdr:col>7</xdr:col>
                <xdr:colOff>419100</xdr:colOff>
                <xdr:row>11</xdr:row>
                <xdr:rowOff>76200</xdr:rowOff>
              </from>
              <to>
                <xdr:col>8</xdr:col>
                <xdr:colOff>180975</xdr:colOff>
                <xdr:row>13</xdr:row>
                <xdr:rowOff>19050</xdr:rowOff>
              </to>
            </anchor>
          </controlPr>
        </control>
      </mc:Choice>
      <mc:Fallback>
        <control shapeId="1065" r:id="rId70" name="box_btn_6"/>
      </mc:Fallback>
    </mc:AlternateContent>
    <mc:AlternateContent xmlns:mc="http://schemas.openxmlformats.org/markup-compatibility/2006">
      <mc:Choice Requires="x14">
        <control shapeId="1066" r:id="rId72" name="box_btn_7">
          <controlPr defaultSize="0" autoLine="0" linkedCell="control!T4" listFillRange="control!E3:E4" r:id="rId73">
            <anchor moveWithCells="1">
              <from>
                <xdr:col>12</xdr:col>
                <xdr:colOff>171450</xdr:colOff>
                <xdr:row>12</xdr:row>
                <xdr:rowOff>0</xdr:rowOff>
              </from>
              <to>
                <xdr:col>12</xdr:col>
                <xdr:colOff>762000</xdr:colOff>
                <xdr:row>13</xdr:row>
                <xdr:rowOff>19050</xdr:rowOff>
              </to>
            </anchor>
          </controlPr>
        </control>
      </mc:Choice>
      <mc:Fallback>
        <control shapeId="1066" r:id="rId72" name="box_btn_7"/>
      </mc:Fallback>
    </mc:AlternateContent>
    <mc:AlternateContent xmlns:mc="http://schemas.openxmlformats.org/markup-compatibility/2006">
      <mc:Choice Requires="x14">
        <control shapeId="1067" r:id="rId74" name="box_btn_8">
          <controlPr defaultSize="0" autoLine="0" linkedCell="control!U1" r:id="rId75">
            <anchor>
              <from>
                <xdr:col>8</xdr:col>
                <xdr:colOff>95250</xdr:colOff>
                <xdr:row>13</xdr:row>
                <xdr:rowOff>85725</xdr:rowOff>
              </from>
              <to>
                <xdr:col>9</xdr:col>
                <xdr:colOff>38100</xdr:colOff>
                <xdr:row>15</xdr:row>
                <xdr:rowOff>19050</xdr:rowOff>
              </to>
            </anchor>
          </controlPr>
        </control>
      </mc:Choice>
      <mc:Fallback>
        <control shapeId="1067" r:id="rId74" name="box_btn_8"/>
      </mc:Fallback>
    </mc:AlternateContent>
    <mc:AlternateContent xmlns:mc="http://schemas.openxmlformats.org/markup-compatibility/2006">
      <mc:Choice Requires="x14">
        <control shapeId="1068" r:id="rId76" name="box_btn_9">
          <controlPr defaultSize="0" autoLine="0" linkedCell="control!V1" r:id="rId77">
            <anchor>
              <from>
                <xdr:col>13</xdr:col>
                <xdr:colOff>95250</xdr:colOff>
                <xdr:row>14</xdr:row>
                <xdr:rowOff>0</xdr:rowOff>
              </from>
              <to>
                <xdr:col>14</xdr:col>
                <xdr:colOff>180975</xdr:colOff>
                <xdr:row>15</xdr:row>
                <xdr:rowOff>28575</xdr:rowOff>
              </to>
            </anchor>
          </controlPr>
        </control>
      </mc:Choice>
      <mc:Fallback>
        <control shapeId="1068" r:id="rId76" name="box_btn_9"/>
      </mc:Fallback>
    </mc:AlternateContent>
    <mc:AlternateContent xmlns:mc="http://schemas.openxmlformats.org/markup-compatibility/2006">
      <mc:Choice Requires="x14">
        <control shapeId="1074" r:id="rId78" name="fl_btn_2">
          <controlPr defaultSize="0" autoLine="0" linkedCell="control!W1" r:id="rId79">
            <anchor moveWithCells="1">
              <from>
                <xdr:col>8</xdr:col>
                <xdr:colOff>19050</xdr:colOff>
                <xdr:row>40</xdr:row>
                <xdr:rowOff>76200</xdr:rowOff>
              </from>
              <to>
                <xdr:col>8</xdr:col>
                <xdr:colOff>742950</xdr:colOff>
                <xdr:row>42</xdr:row>
                <xdr:rowOff>9525</xdr:rowOff>
              </to>
            </anchor>
          </controlPr>
        </control>
      </mc:Choice>
      <mc:Fallback>
        <control shapeId="1074" r:id="rId78" name="fl_btn_2"/>
      </mc:Fallback>
    </mc:AlternateContent>
    <mc:AlternateContent xmlns:mc="http://schemas.openxmlformats.org/markup-compatibility/2006">
      <mc:Choice Requires="x14">
        <control shapeId="1091" r:id="rId80" name="fl_main_btn_1">
          <controlPr defaultSize="0" autoLine="0" linkedCell="control!J6" r:id="rId81">
            <anchor moveWithCells="1">
              <from>
                <xdr:col>1</xdr:col>
                <xdr:colOff>19050</xdr:colOff>
                <xdr:row>39</xdr:row>
                <xdr:rowOff>0</xdr:rowOff>
              </from>
              <to>
                <xdr:col>3</xdr:col>
                <xdr:colOff>523875</xdr:colOff>
                <xdr:row>40</xdr:row>
                <xdr:rowOff>19050</xdr:rowOff>
              </to>
            </anchor>
          </controlPr>
        </control>
      </mc:Choice>
      <mc:Fallback>
        <control shapeId="1091" r:id="rId80" name="fl_main_btn_1"/>
      </mc:Fallback>
    </mc:AlternateContent>
    <mc:AlternateContent xmlns:mc="http://schemas.openxmlformats.org/markup-compatibility/2006">
      <mc:Choice Requires="x14">
        <control shapeId="1092" r:id="rId82" name="fl_main_btn_2">
          <controlPr defaultSize="0" autoLine="0" linkedCell="control!K6" r:id="rId83">
            <anchor moveWithCells="1">
              <from>
                <xdr:col>3</xdr:col>
                <xdr:colOff>581025</xdr:colOff>
                <xdr:row>39</xdr:row>
                <xdr:rowOff>0</xdr:rowOff>
              </from>
              <to>
                <xdr:col>6</xdr:col>
                <xdr:colOff>66675</xdr:colOff>
                <xdr:row>40</xdr:row>
                <xdr:rowOff>19050</xdr:rowOff>
              </to>
            </anchor>
          </controlPr>
        </control>
      </mc:Choice>
      <mc:Fallback>
        <control shapeId="1092" r:id="rId82" name="fl_main_btn_2"/>
      </mc:Fallback>
    </mc:AlternateContent>
    <mc:AlternateContent xmlns:mc="http://schemas.openxmlformats.org/markup-compatibility/2006">
      <mc:Choice Requires="x14">
        <control shapeId="1093" r:id="rId84" name="fl_main_btn_3">
          <controlPr defaultSize="0" autoLine="0" linkedCell="control!L6" r:id="rId85">
            <anchor moveWithCells="1">
              <from>
                <xdr:col>6</xdr:col>
                <xdr:colOff>228600</xdr:colOff>
                <xdr:row>39</xdr:row>
                <xdr:rowOff>9525</xdr:rowOff>
              </from>
              <to>
                <xdr:col>8</xdr:col>
                <xdr:colOff>723900</xdr:colOff>
                <xdr:row>40</xdr:row>
                <xdr:rowOff>38100</xdr:rowOff>
              </to>
            </anchor>
          </controlPr>
        </control>
      </mc:Choice>
      <mc:Fallback>
        <control shapeId="1093" r:id="rId84" name="fl_main_btn_3"/>
      </mc:Fallback>
    </mc:AlternateContent>
    <mc:AlternateContent xmlns:mc="http://schemas.openxmlformats.org/markup-compatibility/2006">
      <mc:Choice Requires="x14">
        <control shapeId="1094" r:id="rId86" name="fl_btn_1">
          <controlPr defaultSize="0" autoLine="0" linkedCell="control!J8" listFillRange="control!I18:I27" r:id="rId87">
            <anchor moveWithCells="1">
              <from>
                <xdr:col>3</xdr:col>
                <xdr:colOff>314325</xdr:colOff>
                <xdr:row>40</xdr:row>
                <xdr:rowOff>85725</xdr:rowOff>
              </from>
              <to>
                <xdr:col>4</xdr:col>
                <xdr:colOff>142875</xdr:colOff>
                <xdr:row>42</xdr:row>
                <xdr:rowOff>9525</xdr:rowOff>
              </to>
            </anchor>
          </controlPr>
        </control>
      </mc:Choice>
      <mc:Fallback>
        <control shapeId="1094" r:id="rId86" name="fl_btn_1"/>
      </mc:Fallback>
    </mc:AlternateContent>
    <mc:AlternateContent xmlns:mc="http://schemas.openxmlformats.org/markup-compatibility/2006">
      <mc:Choice Requires="x14">
        <control shapeId="1125" r:id="rId88" name="fl_btn_3">
          <controlPr defaultSize="0" autoLine="0" linkedCell="control!W10" listFillRange="control!F4:F6" r:id="rId89">
            <anchor moveWithCells="1">
              <from>
                <xdr:col>10</xdr:col>
                <xdr:colOff>114300</xdr:colOff>
                <xdr:row>40</xdr:row>
                <xdr:rowOff>85725</xdr:rowOff>
              </from>
              <to>
                <xdr:col>10</xdr:col>
                <xdr:colOff>790575</xdr:colOff>
                <xdr:row>42</xdr:row>
                <xdr:rowOff>9525</xdr:rowOff>
              </to>
            </anchor>
          </controlPr>
        </control>
      </mc:Choice>
      <mc:Fallback>
        <control shapeId="1125" r:id="rId88" name="fl_btn_3"/>
      </mc:Fallback>
    </mc:AlternateContent>
    <mc:AlternateContent xmlns:mc="http://schemas.openxmlformats.org/markup-compatibility/2006">
      <mc:Choice Requires="x14">
        <control shapeId="1143" r:id="rId90" name="tube_btn_3">
          <controlPr defaultSize="0" autoLine="0" linkedCell="control!R21" r:id="rId91">
            <anchor moveWithCells="1">
              <from>
                <xdr:col>8</xdr:col>
                <xdr:colOff>9525</xdr:colOff>
                <xdr:row>54</xdr:row>
                <xdr:rowOff>0</xdr:rowOff>
              </from>
              <to>
                <xdr:col>9</xdr:col>
                <xdr:colOff>561975</xdr:colOff>
                <xdr:row>57</xdr:row>
                <xdr:rowOff>9525</xdr:rowOff>
              </to>
            </anchor>
          </controlPr>
        </control>
      </mc:Choice>
      <mc:Fallback>
        <control shapeId="1143" r:id="rId90" name="tube_btn_3"/>
      </mc:Fallback>
    </mc:AlternateContent>
    <mc:AlternateContent xmlns:mc="http://schemas.openxmlformats.org/markup-compatibility/2006">
      <mc:Choice Requires="x14">
        <control shapeId="1148" r:id="rId92" name="box_btn_2">
          <controlPr defaultSize="0" autoLine="0" linkedCell="control!K1" listFillRange="control!A33:A42" r:id="rId93">
            <anchor>
              <from>
                <xdr:col>10</xdr:col>
                <xdr:colOff>57150</xdr:colOff>
                <xdr:row>9</xdr:row>
                <xdr:rowOff>238125</xdr:rowOff>
              </from>
              <to>
                <xdr:col>11</xdr:col>
                <xdr:colOff>647700</xdr:colOff>
                <xdr:row>11</xdr:row>
                <xdr:rowOff>9525</xdr:rowOff>
              </to>
            </anchor>
          </controlPr>
        </control>
      </mc:Choice>
      <mc:Fallback>
        <control shapeId="1148" r:id="rId92" name="box_btn_2"/>
      </mc:Fallback>
    </mc:AlternateContent>
    <mc:AlternateContent xmlns:mc="http://schemas.openxmlformats.org/markup-compatibility/2006">
      <mc:Choice Requires="x14">
        <control shapeId="1149" r:id="rId94" name="fl_btn_15">
          <controlPr defaultSize="0" autoLine="0" linkedCell="control!R67" listFillRange="control!F9:M11" r:id="rId95">
            <anchor moveWithCells="1">
              <from>
                <xdr:col>4</xdr:col>
                <xdr:colOff>504825</xdr:colOff>
                <xdr:row>46</xdr:row>
                <xdr:rowOff>76200</xdr:rowOff>
              </from>
              <to>
                <xdr:col>5</xdr:col>
                <xdr:colOff>619125</xdr:colOff>
                <xdr:row>48</xdr:row>
                <xdr:rowOff>0</xdr:rowOff>
              </to>
            </anchor>
          </controlPr>
        </control>
      </mc:Choice>
      <mc:Fallback>
        <control shapeId="1149" r:id="rId94" name="fl_btn_15"/>
      </mc:Fallback>
    </mc:AlternateContent>
    <mc:AlternateContent xmlns:mc="http://schemas.openxmlformats.org/markup-compatibility/2006">
      <mc:Choice Requires="x14">
        <control shapeId="1150" r:id="rId96" name="fl_btn_18">
          <controlPr defaultSize="0" autoLine="0" linkedCell="control!F14" listFillRange="control!F15:M20" r:id="rId97">
            <anchor moveWithCells="1">
              <from>
                <xdr:col>3</xdr:col>
                <xdr:colOff>85725</xdr:colOff>
                <xdr:row>49</xdr:row>
                <xdr:rowOff>0</xdr:rowOff>
              </from>
              <to>
                <xdr:col>5</xdr:col>
                <xdr:colOff>0</xdr:colOff>
                <xdr:row>51</xdr:row>
                <xdr:rowOff>19050</xdr:rowOff>
              </to>
            </anchor>
          </controlPr>
        </control>
      </mc:Choice>
      <mc:Fallback>
        <control shapeId="1150" r:id="rId96" name="fl_btn_18"/>
      </mc:Fallback>
    </mc:AlternateContent>
    <mc:AlternateContent xmlns:mc="http://schemas.openxmlformats.org/markup-compatibility/2006">
      <mc:Choice Requires="x14">
        <control shapeId="1156" r:id="rId98" name="tube_btn_4">
          <controlPr defaultSize="0" autoLine="0" linkedCell="control!Q30" listFillRange="control!Q32:Q37" r:id="rId99">
            <anchor moveWithCells="1">
              <from>
                <xdr:col>12</xdr:col>
                <xdr:colOff>47625</xdr:colOff>
                <xdr:row>53</xdr:row>
                <xdr:rowOff>38100</xdr:rowOff>
              </from>
              <to>
                <xdr:col>13</xdr:col>
                <xdr:colOff>628650</xdr:colOff>
                <xdr:row>57</xdr:row>
                <xdr:rowOff>0</xdr:rowOff>
              </to>
            </anchor>
          </controlPr>
        </control>
      </mc:Choice>
      <mc:Fallback>
        <control shapeId="1156" r:id="rId98" name="tube_btn_4"/>
      </mc:Fallback>
    </mc:AlternateContent>
    <mc:AlternateContent xmlns:mc="http://schemas.openxmlformats.org/markup-compatibility/2006">
      <mc:Choice Requires="x14">
        <control shapeId="1157" r:id="rId100" name="tube_btn_2">
          <controlPr defaultSize="0" autoLine="0" linkedCell="control!R25" listFillRange="control!A33:Q42" r:id="rId101">
            <anchor moveWithCells="1">
              <from>
                <xdr:col>6</xdr:col>
                <xdr:colOff>47625</xdr:colOff>
                <xdr:row>54</xdr:row>
                <xdr:rowOff>0</xdr:rowOff>
              </from>
              <to>
                <xdr:col>7</xdr:col>
                <xdr:colOff>781050</xdr:colOff>
                <xdr:row>57</xdr:row>
                <xdr:rowOff>9525</xdr:rowOff>
              </to>
            </anchor>
          </controlPr>
        </control>
      </mc:Choice>
      <mc:Fallback>
        <control shapeId="1157" r:id="rId100" name="tube_btn_2"/>
      </mc:Fallback>
    </mc:AlternateContent>
    <mc:AlternateContent xmlns:mc="http://schemas.openxmlformats.org/markup-compatibility/2006">
      <mc:Choice Requires="x14">
        <control shapeId="1158" r:id="rId102" name="dop_btn_1">
          <controlPr defaultSize="0" autoLine="0" linkedCell="control!J4" r:id="rId103">
            <anchor moveWithCells="1">
              <from>
                <xdr:col>1</xdr:col>
                <xdr:colOff>57150</xdr:colOff>
                <xdr:row>65</xdr:row>
                <xdr:rowOff>209550</xdr:rowOff>
              </from>
              <to>
                <xdr:col>2</xdr:col>
                <xdr:colOff>628650</xdr:colOff>
                <xdr:row>67</xdr:row>
                <xdr:rowOff>19050</xdr:rowOff>
              </to>
            </anchor>
          </controlPr>
        </control>
      </mc:Choice>
      <mc:Fallback>
        <control shapeId="1158" r:id="rId102" name="dop_btn_1"/>
      </mc:Fallback>
    </mc:AlternateContent>
    <mc:AlternateContent xmlns:mc="http://schemas.openxmlformats.org/markup-compatibility/2006">
      <mc:Choice Requires="x14">
        <control shapeId="1160" r:id="rId104" name="dop_btn_3">
          <controlPr defaultSize="0" autoLine="0" linkedCell="control!L4" r:id="rId105">
            <anchor moveWithCells="1">
              <from>
                <xdr:col>4</xdr:col>
                <xdr:colOff>714375</xdr:colOff>
                <xdr:row>65</xdr:row>
                <xdr:rowOff>209550</xdr:rowOff>
              </from>
              <to>
                <xdr:col>6</xdr:col>
                <xdr:colOff>542925</xdr:colOff>
                <xdr:row>67</xdr:row>
                <xdr:rowOff>19050</xdr:rowOff>
              </to>
            </anchor>
          </controlPr>
        </control>
      </mc:Choice>
      <mc:Fallback>
        <control shapeId="1160" r:id="rId104" name="dop_btn_3"/>
      </mc:Fallback>
    </mc:AlternateContent>
    <mc:AlternateContent xmlns:mc="http://schemas.openxmlformats.org/markup-compatibility/2006">
      <mc:Choice Requires="x14">
        <control shapeId="1161" r:id="rId106" name="dop_btn_2">
          <controlPr defaultSize="0" autoLine="0" linkedCell="control!K4" r:id="rId107">
            <anchor moveWithCells="1">
              <from>
                <xdr:col>3</xdr:col>
                <xdr:colOff>9525</xdr:colOff>
                <xdr:row>65</xdr:row>
                <xdr:rowOff>209550</xdr:rowOff>
              </from>
              <to>
                <xdr:col>4</xdr:col>
                <xdr:colOff>581025</xdr:colOff>
                <xdr:row>67</xdr:row>
                <xdr:rowOff>19050</xdr:rowOff>
              </to>
            </anchor>
          </controlPr>
        </control>
      </mc:Choice>
      <mc:Fallback>
        <control shapeId="1161" r:id="rId106" name="dop_btn_2"/>
      </mc:Fallback>
    </mc:AlternateContent>
    <mc:AlternateContent xmlns:mc="http://schemas.openxmlformats.org/markup-compatibility/2006">
      <mc:Choice Requires="x14">
        <control shapeId="1162" r:id="rId108" name="dop_btn_4">
          <controlPr defaultSize="0" autoLine="0" linkedCell="control!M4" r:id="rId109">
            <anchor moveWithCells="1">
              <from>
                <xdr:col>6</xdr:col>
                <xdr:colOff>647700</xdr:colOff>
                <xdr:row>65</xdr:row>
                <xdr:rowOff>209550</xdr:rowOff>
              </from>
              <to>
                <xdr:col>8</xdr:col>
                <xdr:colOff>438150</xdr:colOff>
                <xdr:row>67</xdr:row>
                <xdr:rowOff>19050</xdr:rowOff>
              </to>
            </anchor>
          </controlPr>
        </control>
      </mc:Choice>
      <mc:Fallback>
        <control shapeId="1162" r:id="rId108" name="dop_btn_4"/>
      </mc:Fallback>
    </mc:AlternateContent>
    <mc:AlternateContent xmlns:mc="http://schemas.openxmlformats.org/markup-compatibility/2006">
      <mc:Choice Requires="x14">
        <control shapeId="1169" r:id="rId110" name="zip_btn_5">
          <controlPr defaultSize="0" autoLine="0" linkedCell="control!Q7" r:id="rId111">
            <anchor moveWithCells="1">
              <from>
                <xdr:col>1</xdr:col>
                <xdr:colOff>38100</xdr:colOff>
                <xdr:row>63</xdr:row>
                <xdr:rowOff>28575</xdr:rowOff>
              </from>
              <to>
                <xdr:col>2</xdr:col>
                <xdr:colOff>714375</xdr:colOff>
                <xdr:row>65</xdr:row>
                <xdr:rowOff>28575</xdr:rowOff>
              </to>
            </anchor>
          </controlPr>
        </control>
      </mc:Choice>
      <mc:Fallback>
        <control shapeId="1169" r:id="rId110" name="zip_btn_5"/>
      </mc:Fallback>
    </mc:AlternateContent>
    <mc:AlternateContent xmlns:mc="http://schemas.openxmlformats.org/markup-compatibility/2006">
      <mc:Choice Requires="x14">
        <control shapeId="1170" r:id="rId112" name="zip_btn_4">
          <controlPr defaultSize="0" autoLine="0" linkedCell="control!R7" r:id="rId113">
            <anchor moveWithCells="1">
              <from>
                <xdr:col>1</xdr:col>
                <xdr:colOff>47625</xdr:colOff>
                <xdr:row>61</xdr:row>
                <xdr:rowOff>38100</xdr:rowOff>
              </from>
              <to>
                <xdr:col>2</xdr:col>
                <xdr:colOff>723900</xdr:colOff>
                <xdr:row>63</xdr:row>
                <xdr:rowOff>9525</xdr:rowOff>
              </to>
            </anchor>
          </controlPr>
        </control>
      </mc:Choice>
      <mc:Fallback>
        <control shapeId="1170" r:id="rId112" name="zip_btn_4"/>
      </mc:Fallback>
    </mc:AlternateContent>
    <mc:AlternateContent xmlns:mc="http://schemas.openxmlformats.org/markup-compatibility/2006">
      <mc:Choice Requires="x14">
        <control shapeId="1171" r:id="rId114" name="zip_btn_6">
          <controlPr defaultSize="0" autoLine="0" linkedCell="control!S7" r:id="rId115">
            <anchor moveWithCells="1">
              <from>
                <xdr:col>5</xdr:col>
                <xdr:colOff>38100</xdr:colOff>
                <xdr:row>61</xdr:row>
                <xdr:rowOff>38100</xdr:rowOff>
              </from>
              <to>
                <xdr:col>5</xdr:col>
                <xdr:colOff>714375</xdr:colOff>
                <xdr:row>63</xdr:row>
                <xdr:rowOff>9525</xdr:rowOff>
              </to>
            </anchor>
          </controlPr>
        </control>
      </mc:Choice>
      <mc:Fallback>
        <control shapeId="1171" r:id="rId114" name="zip_btn_6"/>
      </mc:Fallback>
    </mc:AlternateContent>
    <mc:AlternateContent xmlns:mc="http://schemas.openxmlformats.org/markup-compatibility/2006">
      <mc:Choice Requires="x14">
        <control shapeId="1172" r:id="rId116" name="zip_btn_7">
          <controlPr defaultSize="0" autoLine="0" linkedCell="control!T7" r:id="rId117">
            <anchor moveWithCells="1">
              <from>
                <xdr:col>5</xdr:col>
                <xdr:colOff>28575</xdr:colOff>
                <xdr:row>63</xdr:row>
                <xdr:rowOff>28575</xdr:rowOff>
              </from>
              <to>
                <xdr:col>5</xdr:col>
                <xdr:colOff>714375</xdr:colOff>
                <xdr:row>65</xdr:row>
                <xdr:rowOff>28575</xdr:rowOff>
              </to>
            </anchor>
          </controlPr>
        </control>
      </mc:Choice>
      <mc:Fallback>
        <control shapeId="1172" r:id="rId116" name="zip_btn_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343"/>
  <sheetViews>
    <sheetView tabSelected="1" zoomScale="115" zoomScaleNormal="115" workbookViewId="0">
      <selection activeCell="L9" sqref="L9"/>
    </sheetView>
  </sheetViews>
  <sheetFormatPr defaultRowHeight="15" x14ac:dyDescent="0.25"/>
  <cols>
    <col min="1" max="1" width="21.85546875" customWidth="1"/>
    <col min="2" max="2" width="46.28515625" customWidth="1"/>
    <col min="3" max="3" width="6.7109375" customWidth="1"/>
    <col min="4" max="12" width="7.5703125" customWidth="1"/>
  </cols>
  <sheetData>
    <row r="1" spans="1:14" ht="17.100000000000001" customHeight="1" x14ac:dyDescent="0.25">
      <c r="A1" s="343" t="str">
        <f>control!O13</f>
        <v>Предварительный обсчет материала по служ. зап. № 18/157/90 (Рев. 0) от 06.09.18 г.</v>
      </c>
      <c r="B1" s="343"/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107"/>
    </row>
    <row r="2" spans="1:14" ht="17.100000000000001" customHeight="1" x14ac:dyDescent="0.25">
      <c r="A2" s="343" t="str">
        <f>control!A15&amp;" "&amp;control!O14&amp;" (на 1 ед."&amp;IF(control!I1="секция",", всего "&amp;Диалог!K6&amp;" шт.","")&amp;")"</f>
        <v>Блок секции АВГ-БМ-20-2.5-Б1/8-3-4 УХЛ1 (на 1 ед., всего 1 шт.)</v>
      </c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  <c r="M2" s="107"/>
    </row>
    <row r="3" spans="1:14" ht="3.95" customHeight="1" x14ac:dyDescent="0.25">
      <c r="A3" s="343"/>
      <c r="B3" s="347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107"/>
    </row>
    <row r="4" spans="1:14" ht="15.75" x14ac:dyDescent="0.25">
      <c r="A4" s="174"/>
      <c r="B4" s="174"/>
      <c r="C4" s="174"/>
      <c r="D4" s="174"/>
      <c r="E4" s="174"/>
      <c r="F4" s="174"/>
      <c r="G4" s="344" t="str">
        <f>Диалог!K5</f>
        <v>АВО</v>
      </c>
      <c r="H4" s="345"/>
      <c r="I4" s="345"/>
      <c r="J4" s="345"/>
      <c r="K4" s="345"/>
      <c r="L4" s="346"/>
      <c r="M4" s="140"/>
      <c r="N4" s="135"/>
    </row>
    <row r="5" spans="1:14" ht="32.1" customHeight="1" x14ac:dyDescent="0.25">
      <c r="A5" s="348" t="s">
        <v>185</v>
      </c>
      <c r="B5" s="349" t="s">
        <v>186</v>
      </c>
      <c r="C5" s="348" t="s">
        <v>192</v>
      </c>
      <c r="D5" s="348" t="s">
        <v>221</v>
      </c>
      <c r="E5" s="349"/>
      <c r="F5" s="349"/>
      <c r="G5" s="348" t="s">
        <v>223</v>
      </c>
      <c r="H5" s="349"/>
      <c r="I5" s="349"/>
      <c r="J5" s="348" t="s">
        <v>190</v>
      </c>
      <c r="K5" s="348" t="s">
        <v>254</v>
      </c>
      <c r="L5" s="349"/>
      <c r="M5" s="141"/>
    </row>
    <row r="6" spans="1:14" ht="15.95" customHeight="1" x14ac:dyDescent="0.25">
      <c r="A6" s="349"/>
      <c r="B6" s="349"/>
      <c r="C6" s="349"/>
      <c r="D6" s="176" t="s">
        <v>187</v>
      </c>
      <c r="E6" s="176" t="s">
        <v>188</v>
      </c>
      <c r="F6" s="176" t="s">
        <v>189</v>
      </c>
      <c r="G6" s="176" t="s">
        <v>187</v>
      </c>
      <c r="H6" s="176" t="s">
        <v>188</v>
      </c>
      <c r="I6" s="176" t="s">
        <v>189</v>
      </c>
      <c r="J6" s="349"/>
      <c r="K6" s="176" t="s">
        <v>191</v>
      </c>
      <c r="L6" s="176" t="s">
        <v>222</v>
      </c>
      <c r="M6" s="141"/>
    </row>
    <row r="7" spans="1:14" ht="15.95" customHeight="1" x14ac:dyDescent="0.25">
      <c r="A7" s="340" t="str">
        <f>"Камера передняя "&amp;control!S5&amp;" - "&amp;Диалог!M19&amp;" шт."</f>
        <v>Камера передняя 1 - 1 шт.</v>
      </c>
      <c r="B7" s="341"/>
      <c r="C7" s="341"/>
      <c r="D7" s="341"/>
      <c r="E7" s="341"/>
      <c r="F7" s="341"/>
      <c r="G7" s="341"/>
      <c r="H7" s="341"/>
      <c r="I7" s="341"/>
      <c r="J7" s="341"/>
      <c r="K7" s="341"/>
      <c r="L7" s="342"/>
      <c r="M7" s="142"/>
    </row>
    <row r="8" spans="1:14" ht="15.95" customHeight="1" x14ac:dyDescent="0.25">
      <c r="A8" s="177" t="s">
        <v>58</v>
      </c>
      <c r="B8" s="314" t="str">
        <f>control!I28</f>
        <v>Сталь 09Г2С-15 ГОСТ 5520-79</v>
      </c>
      <c r="C8" s="178">
        <f>2*Диалог!M19</f>
        <v>2</v>
      </c>
      <c r="D8" s="178">
        <f>Диалог!D17</f>
        <v>25</v>
      </c>
      <c r="E8" s="178">
        <f>Диалог!F19</f>
        <v>500</v>
      </c>
      <c r="F8" s="178">
        <f>Диалог!D15</f>
        <v>2920</v>
      </c>
      <c r="G8" s="178">
        <f>D8</f>
        <v>25</v>
      </c>
      <c r="H8" s="178">
        <f>E8+20</f>
        <v>520</v>
      </c>
      <c r="I8" s="178">
        <f>IF((F8+20)&gt;control!H11,3000,F8+20)</f>
        <v>3000</v>
      </c>
      <c r="J8" s="178">
        <f>ROUNDUP(H8/1000*I8/1000*G8/1000*C8*control!N1*control!N4,)</f>
        <v>674</v>
      </c>
      <c r="K8" s="179" t="s">
        <v>198</v>
      </c>
      <c r="L8" s="179" t="s">
        <v>198</v>
      </c>
      <c r="M8" s="142"/>
    </row>
    <row r="9" spans="1:14" ht="15.95" customHeight="1" x14ac:dyDescent="0.25">
      <c r="A9" s="177" t="s">
        <v>59</v>
      </c>
      <c r="B9" s="339"/>
      <c r="C9" s="178">
        <f>2*Диалог!M19</f>
        <v>2</v>
      </c>
      <c r="D9" s="178">
        <f>Диалог!F17</f>
        <v>20</v>
      </c>
      <c r="E9" s="178" t="str">
        <f>control!U5</f>
        <v>200</v>
      </c>
      <c r="F9" s="178">
        <f>Диалог!D15</f>
        <v>2920</v>
      </c>
      <c r="G9" s="178">
        <f>D9</f>
        <v>20</v>
      </c>
      <c r="H9" s="178">
        <f>E9+20</f>
        <v>220</v>
      </c>
      <c r="I9" s="178">
        <f>IF((F9+20)&gt;control!H11,3000,F9+20)</f>
        <v>3000</v>
      </c>
      <c r="J9" s="178">
        <f>ROUNDUP(H9/1000*I9/1000*G9/1000*C9*control!N1*control!N4,)</f>
        <v>228</v>
      </c>
      <c r="K9" s="179" t="s">
        <v>198</v>
      </c>
      <c r="L9" s="179" t="s">
        <v>198</v>
      </c>
      <c r="M9" s="142"/>
    </row>
    <row r="10" spans="1:14" ht="15.95" customHeight="1" x14ac:dyDescent="0.25">
      <c r="A10" s="177" t="s">
        <v>60</v>
      </c>
      <c r="B10" s="339"/>
      <c r="C10" s="178">
        <f>2*Диалог!M19</f>
        <v>2</v>
      </c>
      <c r="D10" s="178">
        <f>Диалог!I17</f>
        <v>20</v>
      </c>
      <c r="E10" s="178">
        <f>E9+6</f>
        <v>206</v>
      </c>
      <c r="F10" s="178">
        <f>E8-2*D9+4</f>
        <v>464</v>
      </c>
      <c r="G10" s="178">
        <f>D10</f>
        <v>20</v>
      </c>
      <c r="H10" s="178">
        <f>E10+20</f>
        <v>226</v>
      </c>
      <c r="I10" s="178">
        <f>F10+20</f>
        <v>484</v>
      </c>
      <c r="J10" s="178">
        <f>ROUNDUP(H10/1000*I10/1000*G10/1000*C10*control!N1*control!N4,)</f>
        <v>38</v>
      </c>
      <c r="K10" s="179" t="s">
        <v>198</v>
      </c>
      <c r="L10" s="179" t="s">
        <v>198</v>
      </c>
      <c r="M10" s="142"/>
    </row>
    <row r="11" spans="1:14" ht="15.95" customHeight="1" x14ac:dyDescent="0.25">
      <c r="A11" s="177" t="s">
        <v>61</v>
      </c>
      <c r="B11" s="331"/>
      <c r="C11" s="178">
        <f>Диалог!J19*Диалог!M19</f>
        <v>1</v>
      </c>
      <c r="D11" s="178">
        <f>Диалог!L17</f>
        <v>10</v>
      </c>
      <c r="E11" s="178" t="str">
        <f>control!U5</f>
        <v>200</v>
      </c>
      <c r="F11" s="178">
        <f>Диалог!D15-2*D10</f>
        <v>2880</v>
      </c>
      <c r="G11" s="178">
        <f>D11</f>
        <v>10</v>
      </c>
      <c r="H11" s="178">
        <f>E11+20</f>
        <v>220</v>
      </c>
      <c r="I11" s="178">
        <f>IF((F11+20)&gt;control!H11,3000,F11+20)</f>
        <v>3000</v>
      </c>
      <c r="J11" s="178">
        <f>ROUNDUP(H11/1000*I11/1000*G11/1000*C11*control!N1*control!N4,)</f>
        <v>57</v>
      </c>
      <c r="K11" s="179" t="s">
        <v>198</v>
      </c>
      <c r="L11" s="179" t="s">
        <v>198</v>
      </c>
      <c r="M11" s="142"/>
    </row>
    <row r="12" spans="1:14" ht="15.95" customHeight="1" x14ac:dyDescent="0.25">
      <c r="A12" s="340" t="str">
        <f>"Камера передняя 2"&amp;" - "&amp;Диалог!M20&amp;" шт."</f>
        <v>Камера передняя 2 - 1 шт.</v>
      </c>
      <c r="B12" s="341"/>
      <c r="C12" s="341"/>
      <c r="D12" s="341"/>
      <c r="E12" s="341"/>
      <c r="F12" s="341"/>
      <c r="G12" s="341"/>
      <c r="H12" s="341"/>
      <c r="I12" s="341"/>
      <c r="J12" s="341"/>
      <c r="K12" s="341"/>
      <c r="L12" s="342"/>
      <c r="M12" s="142"/>
    </row>
    <row r="13" spans="1:14" ht="15.95" customHeight="1" x14ac:dyDescent="0.25">
      <c r="A13" s="177" t="s">
        <v>58</v>
      </c>
      <c r="B13" s="314" t="str">
        <f>control!I28</f>
        <v>Сталь 09Г2С-15 ГОСТ 5520-79</v>
      </c>
      <c r="C13" s="178">
        <f>2*Диалог!M20</f>
        <v>2</v>
      </c>
      <c r="D13" s="178">
        <f>Диалог!D17</f>
        <v>25</v>
      </c>
      <c r="E13" s="178">
        <f>Диалог!F20</f>
        <v>500</v>
      </c>
      <c r="F13" s="178">
        <f>Диалог!D15</f>
        <v>2920</v>
      </c>
      <c r="G13" s="178">
        <f>D13</f>
        <v>25</v>
      </c>
      <c r="H13" s="178">
        <f>E13+20</f>
        <v>520</v>
      </c>
      <c r="I13" s="178">
        <f>IF((F13+20)&gt;control!H11,3000,F13+20)</f>
        <v>3000</v>
      </c>
      <c r="J13" s="178">
        <f>ROUNDUP(H13/1000*I13/1000*G13/1000*C13*control!N1*control!N4,)</f>
        <v>674</v>
      </c>
      <c r="K13" s="179" t="s">
        <v>198</v>
      </c>
      <c r="L13" s="179" t="s">
        <v>198</v>
      </c>
      <c r="M13" s="142"/>
    </row>
    <row r="14" spans="1:14" ht="15.95" customHeight="1" x14ac:dyDescent="0.25">
      <c r="A14" s="177" t="s">
        <v>59</v>
      </c>
      <c r="B14" s="339"/>
      <c r="C14" s="178">
        <f>2*Диалог!M20</f>
        <v>2</v>
      </c>
      <c r="D14" s="178">
        <f>Диалог!F17</f>
        <v>20</v>
      </c>
      <c r="E14" s="178" t="str">
        <f>control!U5</f>
        <v>200</v>
      </c>
      <c r="F14" s="178">
        <f>Диалог!D15</f>
        <v>2920</v>
      </c>
      <c r="G14" s="178">
        <f>D14</f>
        <v>20</v>
      </c>
      <c r="H14" s="178">
        <f t="shared" ref="H14:H16" si="0">E14+20</f>
        <v>220</v>
      </c>
      <c r="I14" s="178">
        <f>IF((F14+20)&gt;control!H11,3000,F14+20)</f>
        <v>3000</v>
      </c>
      <c r="J14" s="178">
        <f>ROUNDUP(H14/1000*I14/1000*G14/1000*C14*control!N1*control!N4,)</f>
        <v>228</v>
      </c>
      <c r="K14" s="179" t="s">
        <v>198</v>
      </c>
      <c r="L14" s="179" t="s">
        <v>198</v>
      </c>
      <c r="M14" s="142"/>
    </row>
    <row r="15" spans="1:14" ht="15.95" customHeight="1" x14ac:dyDescent="0.25">
      <c r="A15" s="177" t="s">
        <v>60</v>
      </c>
      <c r="B15" s="339"/>
      <c r="C15" s="178">
        <f>2*Диалог!M20</f>
        <v>2</v>
      </c>
      <c r="D15" s="178">
        <f>Диалог!I17</f>
        <v>20</v>
      </c>
      <c r="E15" s="178">
        <f>E14+6</f>
        <v>206</v>
      </c>
      <c r="F15" s="178">
        <f>E13-2*D14+4</f>
        <v>464</v>
      </c>
      <c r="G15" s="178">
        <f>D15</f>
        <v>20</v>
      </c>
      <c r="H15" s="178">
        <f t="shared" si="0"/>
        <v>226</v>
      </c>
      <c r="I15" s="178">
        <f>F15+20</f>
        <v>484</v>
      </c>
      <c r="J15" s="178">
        <f>ROUNDUP(H15/1000*I15/1000*G15/1000*C15*control!N1*control!N4,)</f>
        <v>38</v>
      </c>
      <c r="K15" s="179" t="s">
        <v>198</v>
      </c>
      <c r="L15" s="179" t="s">
        <v>198</v>
      </c>
      <c r="M15" s="142"/>
    </row>
    <row r="16" spans="1:14" ht="15.95" customHeight="1" x14ac:dyDescent="0.25">
      <c r="A16" s="177" t="s">
        <v>61</v>
      </c>
      <c r="B16" s="331"/>
      <c r="C16" s="178">
        <f>Диалог!J20*Диалог!M20</f>
        <v>1</v>
      </c>
      <c r="D16" s="178">
        <f>Диалог!L17</f>
        <v>10</v>
      </c>
      <c r="E16" s="178" t="str">
        <f>control!U5</f>
        <v>200</v>
      </c>
      <c r="F16" s="178">
        <f>Диалог!D15-2*D15</f>
        <v>2880</v>
      </c>
      <c r="G16" s="178">
        <f>D16</f>
        <v>10</v>
      </c>
      <c r="H16" s="178">
        <f t="shared" si="0"/>
        <v>220</v>
      </c>
      <c r="I16" s="178">
        <f>IF((F16+20)&gt;control!H11,3000,F16+20)</f>
        <v>3000</v>
      </c>
      <c r="J16" s="178">
        <f>ROUNDUP(H16/1000*I16/1000*G16/1000*C16*control!N1*control!N4,)</f>
        <v>57</v>
      </c>
      <c r="K16" s="179" t="s">
        <v>198</v>
      </c>
      <c r="L16" s="179" t="s">
        <v>198</v>
      </c>
      <c r="M16" s="142"/>
    </row>
    <row r="17" spans="1:13" ht="15.95" customHeight="1" x14ac:dyDescent="0.25">
      <c r="A17" s="340" t="str">
        <f>"Камера передняя 3"&amp;" - "&amp;Диалог!M21&amp;" шт."</f>
        <v>Камера передняя 3 - 1 шт.</v>
      </c>
      <c r="B17" s="341"/>
      <c r="C17" s="341"/>
      <c r="D17" s="341"/>
      <c r="E17" s="341"/>
      <c r="F17" s="341"/>
      <c r="G17" s="341"/>
      <c r="H17" s="341"/>
      <c r="I17" s="341"/>
      <c r="J17" s="341"/>
      <c r="K17" s="341"/>
      <c r="L17" s="342"/>
      <c r="M17" s="142"/>
    </row>
    <row r="18" spans="1:13" ht="15.95" customHeight="1" x14ac:dyDescent="0.25">
      <c r="A18" s="177" t="s">
        <v>58</v>
      </c>
      <c r="B18" s="314" t="str">
        <f>control!I28</f>
        <v>Сталь 09Г2С-15 ГОСТ 5520-79</v>
      </c>
      <c r="C18" s="178">
        <f>2*Диалог!M21</f>
        <v>2</v>
      </c>
      <c r="D18" s="178">
        <f>Диалог!D17</f>
        <v>25</v>
      </c>
      <c r="E18" s="178">
        <f>Диалог!F21</f>
        <v>500</v>
      </c>
      <c r="F18" s="178">
        <f>Диалог!D15</f>
        <v>2920</v>
      </c>
      <c r="G18" s="178">
        <f>D18</f>
        <v>25</v>
      </c>
      <c r="H18" s="178">
        <f>E18+20</f>
        <v>520</v>
      </c>
      <c r="I18" s="178">
        <f>IF((F18+20)&gt;control!H11,3000,F18+20)</f>
        <v>3000</v>
      </c>
      <c r="J18" s="178">
        <f>ROUNDUP(H18/1000*I18/1000*G18/1000*C18*control!N1*control!N4,)</f>
        <v>674</v>
      </c>
      <c r="K18" s="179" t="s">
        <v>198</v>
      </c>
      <c r="L18" s="179" t="s">
        <v>198</v>
      </c>
      <c r="M18" s="142"/>
    </row>
    <row r="19" spans="1:13" ht="15.95" customHeight="1" x14ac:dyDescent="0.25">
      <c r="A19" s="177" t="s">
        <v>59</v>
      </c>
      <c r="B19" s="339"/>
      <c r="C19" s="178">
        <f>2*Диалог!M21</f>
        <v>2</v>
      </c>
      <c r="D19" s="178">
        <f>Диалог!F17</f>
        <v>20</v>
      </c>
      <c r="E19" s="178" t="str">
        <f>control!U5</f>
        <v>200</v>
      </c>
      <c r="F19" s="178">
        <f>Диалог!D15</f>
        <v>2920</v>
      </c>
      <c r="G19" s="178">
        <f>D19</f>
        <v>20</v>
      </c>
      <c r="H19" s="178">
        <f t="shared" ref="H19:H21" si="1">E19+20</f>
        <v>220</v>
      </c>
      <c r="I19" s="178">
        <f>IF((F19+20)&gt;control!H11,3000,F19+20)</f>
        <v>3000</v>
      </c>
      <c r="J19" s="178">
        <f>ROUNDUP(H19/1000*I19/1000*G19/1000*C19*control!N1*control!N4,)</f>
        <v>228</v>
      </c>
      <c r="K19" s="179" t="s">
        <v>198</v>
      </c>
      <c r="L19" s="179" t="s">
        <v>198</v>
      </c>
      <c r="M19" s="142"/>
    </row>
    <row r="20" spans="1:13" ht="15.95" customHeight="1" x14ac:dyDescent="0.25">
      <c r="A20" s="177" t="s">
        <v>60</v>
      </c>
      <c r="B20" s="339"/>
      <c r="C20" s="178">
        <f>2*Диалог!M21</f>
        <v>2</v>
      </c>
      <c r="D20" s="178">
        <f>Диалог!I17</f>
        <v>20</v>
      </c>
      <c r="E20" s="178">
        <f>E19+6</f>
        <v>206</v>
      </c>
      <c r="F20" s="178">
        <f>E18-2*D19+4</f>
        <v>464</v>
      </c>
      <c r="G20" s="178">
        <f>D20</f>
        <v>20</v>
      </c>
      <c r="H20" s="178">
        <f t="shared" si="1"/>
        <v>226</v>
      </c>
      <c r="I20" s="178">
        <f>F20+20</f>
        <v>484</v>
      </c>
      <c r="J20" s="178">
        <f>ROUNDUP(H20/1000*I20/1000*G20/1000*C20*control!N1*control!N4,)</f>
        <v>38</v>
      </c>
      <c r="K20" s="179" t="s">
        <v>198</v>
      </c>
      <c r="L20" s="179" t="s">
        <v>198</v>
      </c>
      <c r="M20" s="142"/>
    </row>
    <row r="21" spans="1:13" ht="15.95" customHeight="1" x14ac:dyDescent="0.25">
      <c r="A21" s="177" t="s">
        <v>61</v>
      </c>
      <c r="B21" s="331"/>
      <c r="C21" s="178">
        <f>Диалог!J21*Диалог!M21</f>
        <v>1</v>
      </c>
      <c r="D21" s="178">
        <f>Диалог!L17</f>
        <v>10</v>
      </c>
      <c r="E21" s="178" t="str">
        <f>control!U5</f>
        <v>200</v>
      </c>
      <c r="F21" s="178">
        <f>Диалог!D15-2*D20</f>
        <v>2880</v>
      </c>
      <c r="G21" s="178">
        <f>D21</f>
        <v>10</v>
      </c>
      <c r="H21" s="178">
        <f t="shared" si="1"/>
        <v>220</v>
      </c>
      <c r="I21" s="178">
        <f>IF((F21+20)&gt;control!H11,3000,F21+20)</f>
        <v>3000</v>
      </c>
      <c r="J21" s="178">
        <f>ROUNDUP(H21/1000*I21/1000*G21/1000*C21*control!N1*control!N4,)</f>
        <v>57</v>
      </c>
      <c r="K21" s="179" t="s">
        <v>198</v>
      </c>
      <c r="L21" s="179" t="s">
        <v>198</v>
      </c>
      <c r="M21" s="142"/>
    </row>
    <row r="22" spans="1:13" ht="15.95" customHeight="1" x14ac:dyDescent="0.25">
      <c r="A22" s="340" t="str">
        <f>"Камера задняя "&amp;control!T5&amp;" - "&amp;Диалог!M23&amp;" шт."</f>
        <v>Камера задняя 1 - 1 шт.</v>
      </c>
      <c r="B22" s="341"/>
      <c r="C22" s="341"/>
      <c r="D22" s="341"/>
      <c r="E22" s="341"/>
      <c r="F22" s="341"/>
      <c r="G22" s="341"/>
      <c r="H22" s="341"/>
      <c r="I22" s="341"/>
      <c r="J22" s="341"/>
      <c r="K22" s="341"/>
      <c r="L22" s="342"/>
      <c r="M22" s="142"/>
    </row>
    <row r="23" spans="1:13" ht="15.95" customHeight="1" x14ac:dyDescent="0.25">
      <c r="A23" s="177" t="s">
        <v>58</v>
      </c>
      <c r="B23" s="314" t="str">
        <f>control!I28</f>
        <v>Сталь 09Г2С-15 ГОСТ 5520-79</v>
      </c>
      <c r="C23" s="178">
        <f>2*Диалог!M23</f>
        <v>2</v>
      </c>
      <c r="D23" s="178">
        <f>Диалог!D17</f>
        <v>25</v>
      </c>
      <c r="E23" s="178">
        <f>Диалог!F23</f>
        <v>500</v>
      </c>
      <c r="F23" s="178">
        <f>Диалог!D15</f>
        <v>2920</v>
      </c>
      <c r="G23" s="178">
        <f>D23</f>
        <v>25</v>
      </c>
      <c r="H23" s="178">
        <f>E23+20</f>
        <v>520</v>
      </c>
      <c r="I23" s="178">
        <f>IF((F23+20)&gt;control!H11,3000,F23+20)</f>
        <v>3000</v>
      </c>
      <c r="J23" s="178">
        <f>ROUNDUP(H23/1000*I23/1000*G23/1000*C23*control!N1*control!N4,)</f>
        <v>674</v>
      </c>
      <c r="K23" s="179" t="s">
        <v>198</v>
      </c>
      <c r="L23" s="179" t="s">
        <v>198</v>
      </c>
      <c r="M23" s="142"/>
    </row>
    <row r="24" spans="1:13" ht="15.95" customHeight="1" x14ac:dyDescent="0.25">
      <c r="A24" s="177" t="s">
        <v>59</v>
      </c>
      <c r="B24" s="339"/>
      <c r="C24" s="178">
        <f>2*Диалог!M23</f>
        <v>2</v>
      </c>
      <c r="D24" s="178">
        <f>Диалог!F17</f>
        <v>20</v>
      </c>
      <c r="E24" s="178" t="str">
        <f>control!V6</f>
        <v>150</v>
      </c>
      <c r="F24" s="178">
        <f>Диалог!D15</f>
        <v>2920</v>
      </c>
      <c r="G24" s="178">
        <f>D24</f>
        <v>20</v>
      </c>
      <c r="H24" s="178">
        <f t="shared" ref="H24:H25" si="2">E24+20</f>
        <v>170</v>
      </c>
      <c r="I24" s="178">
        <f>IF((F24+20)&gt;control!H11,3000,F24+20)</f>
        <v>3000</v>
      </c>
      <c r="J24" s="178">
        <f>ROUNDUP(H24/1000*I24/1000*G24/1000*C24*control!N1*control!N4,)</f>
        <v>177</v>
      </c>
      <c r="K24" s="179" t="s">
        <v>198</v>
      </c>
      <c r="L24" s="179" t="s">
        <v>198</v>
      </c>
      <c r="M24" s="142"/>
    </row>
    <row r="25" spans="1:13" ht="15.95" customHeight="1" x14ac:dyDescent="0.25">
      <c r="A25" s="177" t="s">
        <v>60</v>
      </c>
      <c r="B25" s="339"/>
      <c r="C25" s="178">
        <f>2*Диалог!M23</f>
        <v>2</v>
      </c>
      <c r="D25" s="178">
        <f>Диалог!I17</f>
        <v>20</v>
      </c>
      <c r="E25" s="178">
        <f>E24+6</f>
        <v>156</v>
      </c>
      <c r="F25" s="178">
        <f>E23-2*D24+4</f>
        <v>464</v>
      </c>
      <c r="G25" s="178">
        <f>D25</f>
        <v>20</v>
      </c>
      <c r="H25" s="178">
        <f t="shared" si="2"/>
        <v>176</v>
      </c>
      <c r="I25" s="178">
        <f>F25+20</f>
        <v>484</v>
      </c>
      <c r="J25" s="178">
        <f>ROUNDUP(H25/1000*I25/1000*G25/1000*C25*control!N1*control!N4,)</f>
        <v>30</v>
      </c>
      <c r="K25" s="179" t="s">
        <v>198</v>
      </c>
      <c r="L25" s="179" t="s">
        <v>198</v>
      </c>
      <c r="M25" s="142"/>
    </row>
    <row r="26" spans="1:13" ht="15.95" customHeight="1" x14ac:dyDescent="0.25">
      <c r="A26" s="177" t="s">
        <v>61</v>
      </c>
      <c r="B26" s="331"/>
      <c r="C26" s="178">
        <f>Диалог!J23*Диалог!M23</f>
        <v>1</v>
      </c>
      <c r="D26" s="178">
        <f>Диалог!L17</f>
        <v>10</v>
      </c>
      <c r="E26" s="178" t="str">
        <f>control!V6</f>
        <v>150</v>
      </c>
      <c r="F26" s="178">
        <f>Диалог!D15-2*D25</f>
        <v>2880</v>
      </c>
      <c r="G26" s="178">
        <f>D26</f>
        <v>10</v>
      </c>
      <c r="H26" s="178">
        <f>E26+20</f>
        <v>170</v>
      </c>
      <c r="I26" s="178">
        <f>IF((F26+20)&gt;control!H11,3000,F26+20)</f>
        <v>3000</v>
      </c>
      <c r="J26" s="178">
        <f>ROUNDUP(H26/1000*I26/1000*G26/1000*C26*control!N1*control!N4,)</f>
        <v>45</v>
      </c>
      <c r="K26" s="179" t="s">
        <v>198</v>
      </c>
      <c r="L26" s="179" t="s">
        <v>198</v>
      </c>
      <c r="M26" s="142"/>
    </row>
    <row r="27" spans="1:13" ht="15.95" customHeight="1" x14ac:dyDescent="0.25">
      <c r="A27" s="340" t="str">
        <f>"Камера задняя 2"&amp;" - "&amp;Диалог!M24&amp;" шт."</f>
        <v>Камера задняя 2 - 1 шт.</v>
      </c>
      <c r="B27" s="341"/>
      <c r="C27" s="341"/>
      <c r="D27" s="341"/>
      <c r="E27" s="341"/>
      <c r="F27" s="341"/>
      <c r="G27" s="341"/>
      <c r="H27" s="341"/>
      <c r="I27" s="341"/>
      <c r="J27" s="341"/>
      <c r="K27" s="341"/>
      <c r="L27" s="342"/>
      <c r="M27" s="142"/>
    </row>
    <row r="28" spans="1:13" ht="15.95" customHeight="1" x14ac:dyDescent="0.25">
      <c r="A28" s="177" t="s">
        <v>58</v>
      </c>
      <c r="B28" s="314" t="str">
        <f>control!I28</f>
        <v>Сталь 09Г2С-15 ГОСТ 5520-79</v>
      </c>
      <c r="C28" s="178">
        <f>2*Диалог!M24</f>
        <v>2</v>
      </c>
      <c r="D28" s="178">
        <f>Диалог!D17</f>
        <v>25</v>
      </c>
      <c r="E28" s="178">
        <f>Диалог!F24</f>
        <v>500</v>
      </c>
      <c r="F28" s="178">
        <f>Диалог!D15</f>
        <v>2920</v>
      </c>
      <c r="G28" s="178">
        <f>D28</f>
        <v>25</v>
      </c>
      <c r="H28" s="178">
        <f>E28+20</f>
        <v>520</v>
      </c>
      <c r="I28" s="178">
        <f>IF((F28+20)&gt;control!H11,3000,F28+20)</f>
        <v>3000</v>
      </c>
      <c r="J28" s="178">
        <f>ROUNDUP(H28/1000*I28/1000*G28/1000*C28*control!N1*control!N4,)</f>
        <v>674</v>
      </c>
      <c r="K28" s="179" t="s">
        <v>198</v>
      </c>
      <c r="L28" s="179" t="s">
        <v>198</v>
      </c>
      <c r="M28" s="142"/>
    </row>
    <row r="29" spans="1:13" ht="15.95" customHeight="1" x14ac:dyDescent="0.25">
      <c r="A29" s="177" t="s">
        <v>59</v>
      </c>
      <c r="B29" s="339"/>
      <c r="C29" s="178">
        <f>2*Диалог!M24</f>
        <v>2</v>
      </c>
      <c r="D29" s="178">
        <f>Диалог!F17</f>
        <v>20</v>
      </c>
      <c r="E29" s="178" t="str">
        <f>control!V6</f>
        <v>150</v>
      </c>
      <c r="F29" s="178">
        <f>Диалог!D15</f>
        <v>2920</v>
      </c>
      <c r="G29" s="178">
        <f>D29</f>
        <v>20</v>
      </c>
      <c r="H29" s="178">
        <f t="shared" ref="H29:H31" si="3">E29+20</f>
        <v>170</v>
      </c>
      <c r="I29" s="178">
        <f>IF((F29+20)&gt;control!H11,3000,F29+20)</f>
        <v>3000</v>
      </c>
      <c r="J29" s="178">
        <f>ROUNDUP(H29/1000*I29/1000*G29/1000*C29*control!N1*control!N4,)</f>
        <v>177</v>
      </c>
      <c r="K29" s="179" t="s">
        <v>198</v>
      </c>
      <c r="L29" s="179" t="s">
        <v>198</v>
      </c>
      <c r="M29" s="142"/>
    </row>
    <row r="30" spans="1:13" ht="15.95" customHeight="1" x14ac:dyDescent="0.25">
      <c r="A30" s="177" t="s">
        <v>60</v>
      </c>
      <c r="B30" s="339"/>
      <c r="C30" s="178">
        <f>2*Диалог!M24</f>
        <v>2</v>
      </c>
      <c r="D30" s="178">
        <f>Диалог!I17</f>
        <v>20</v>
      </c>
      <c r="E30" s="178">
        <f>E29+6</f>
        <v>156</v>
      </c>
      <c r="F30" s="178">
        <f>E28-2*D29+4</f>
        <v>464</v>
      </c>
      <c r="G30" s="178">
        <f>D30</f>
        <v>20</v>
      </c>
      <c r="H30" s="178">
        <f t="shared" si="3"/>
        <v>176</v>
      </c>
      <c r="I30" s="178">
        <f>F30+20</f>
        <v>484</v>
      </c>
      <c r="J30" s="178">
        <f>ROUNDUP(H30/1000*I30/1000*G30/1000*C30*control!N1*control!N4,)</f>
        <v>30</v>
      </c>
      <c r="K30" s="179" t="s">
        <v>198</v>
      </c>
      <c r="L30" s="179" t="s">
        <v>198</v>
      </c>
      <c r="M30" s="142"/>
    </row>
    <row r="31" spans="1:13" ht="15.95" customHeight="1" x14ac:dyDescent="0.25">
      <c r="A31" s="177" t="s">
        <v>61</v>
      </c>
      <c r="B31" s="331"/>
      <c r="C31" s="178">
        <f>Диалог!J24*Диалог!M24</f>
        <v>1</v>
      </c>
      <c r="D31" s="178">
        <f>Диалог!L17</f>
        <v>10</v>
      </c>
      <c r="E31" s="178" t="str">
        <f>control!V6</f>
        <v>150</v>
      </c>
      <c r="F31" s="178">
        <f>Диалог!D15-2*D30</f>
        <v>2880</v>
      </c>
      <c r="G31" s="178">
        <f>D31</f>
        <v>10</v>
      </c>
      <c r="H31" s="178">
        <f t="shared" si="3"/>
        <v>170</v>
      </c>
      <c r="I31" s="178">
        <f>IF((F31+20)&gt;control!H11,3000,F31+20)</f>
        <v>3000</v>
      </c>
      <c r="J31" s="178">
        <f>ROUNDUP(H31/1000*I31/1000*G31/1000*C31*control!N1*control!N4,)</f>
        <v>45</v>
      </c>
      <c r="K31" s="179" t="s">
        <v>198</v>
      </c>
      <c r="L31" s="179" t="s">
        <v>198</v>
      </c>
      <c r="M31" s="142"/>
    </row>
    <row r="32" spans="1:13" ht="15.95" customHeight="1" x14ac:dyDescent="0.25">
      <c r="A32" s="340" t="str">
        <f>"Камера задняя 3"&amp;" - "&amp;Диалог!M25&amp;" шт."</f>
        <v>Камера задняя 3 - 1 шт.</v>
      </c>
      <c r="B32" s="341"/>
      <c r="C32" s="341"/>
      <c r="D32" s="341"/>
      <c r="E32" s="341"/>
      <c r="F32" s="341"/>
      <c r="G32" s="341"/>
      <c r="H32" s="341"/>
      <c r="I32" s="341"/>
      <c r="J32" s="341"/>
      <c r="K32" s="341"/>
      <c r="L32" s="342"/>
      <c r="M32" s="142"/>
    </row>
    <row r="33" spans="1:13" ht="15.95" customHeight="1" x14ac:dyDescent="0.25">
      <c r="A33" s="177" t="s">
        <v>58</v>
      </c>
      <c r="B33" s="314" t="str">
        <f>control!I28</f>
        <v>Сталь 09Г2С-15 ГОСТ 5520-79</v>
      </c>
      <c r="C33" s="178">
        <f>2*Диалог!M25</f>
        <v>2</v>
      </c>
      <c r="D33" s="178">
        <f>Диалог!D17</f>
        <v>25</v>
      </c>
      <c r="E33" s="178">
        <f>Диалог!F25</f>
        <v>500</v>
      </c>
      <c r="F33" s="178">
        <f>Диалог!D15</f>
        <v>2920</v>
      </c>
      <c r="G33" s="178">
        <f>D33</f>
        <v>25</v>
      </c>
      <c r="H33" s="178">
        <f>E33+20</f>
        <v>520</v>
      </c>
      <c r="I33" s="178">
        <f>IF((F33+20)&gt;control!H11,3000,F33+20)</f>
        <v>3000</v>
      </c>
      <c r="J33" s="178">
        <f>ROUNDUP(H33/1000*I33/1000*G33/1000*C33*control!N1*control!N4,)</f>
        <v>674</v>
      </c>
      <c r="K33" s="179" t="s">
        <v>198</v>
      </c>
      <c r="L33" s="179" t="s">
        <v>198</v>
      </c>
      <c r="M33" s="142"/>
    </row>
    <row r="34" spans="1:13" ht="15.95" customHeight="1" x14ac:dyDescent="0.25">
      <c r="A34" s="177" t="s">
        <v>59</v>
      </c>
      <c r="B34" s="339"/>
      <c r="C34" s="178">
        <f>2*Диалог!M25</f>
        <v>2</v>
      </c>
      <c r="D34" s="178">
        <f>Диалог!F17</f>
        <v>20</v>
      </c>
      <c r="E34" s="178" t="str">
        <f>control!V6</f>
        <v>150</v>
      </c>
      <c r="F34" s="178">
        <f>Диалог!D15</f>
        <v>2920</v>
      </c>
      <c r="G34" s="178">
        <f>D34</f>
        <v>20</v>
      </c>
      <c r="H34" s="178">
        <f t="shared" ref="H34:H36" si="4">E34+20</f>
        <v>170</v>
      </c>
      <c r="I34" s="178">
        <f>IF((F34+20)&gt;control!H11,3000,F34+20)</f>
        <v>3000</v>
      </c>
      <c r="J34" s="178">
        <f>ROUNDUP(H34/1000*I34/1000*G34/1000*C34*control!N1*control!N4,)</f>
        <v>177</v>
      </c>
      <c r="K34" s="179" t="s">
        <v>198</v>
      </c>
      <c r="L34" s="179" t="s">
        <v>198</v>
      </c>
      <c r="M34" s="142"/>
    </row>
    <row r="35" spans="1:13" ht="15.95" customHeight="1" x14ac:dyDescent="0.25">
      <c r="A35" s="177" t="s">
        <v>60</v>
      </c>
      <c r="B35" s="339"/>
      <c r="C35" s="178">
        <f>2*Диалог!M25</f>
        <v>2</v>
      </c>
      <c r="D35" s="178">
        <f>Диалог!I17</f>
        <v>20</v>
      </c>
      <c r="E35" s="178">
        <f>E34+6</f>
        <v>156</v>
      </c>
      <c r="F35" s="178">
        <f>E33-2*D34+4</f>
        <v>464</v>
      </c>
      <c r="G35" s="178">
        <f>D35</f>
        <v>20</v>
      </c>
      <c r="H35" s="178">
        <f t="shared" si="4"/>
        <v>176</v>
      </c>
      <c r="I35" s="178">
        <f>F35+20</f>
        <v>484</v>
      </c>
      <c r="J35" s="178">
        <f>ROUNDUP(H35/1000*I35/1000*G35/1000*C35*control!N1*control!N4,)</f>
        <v>30</v>
      </c>
      <c r="K35" s="179" t="s">
        <v>198</v>
      </c>
      <c r="L35" s="179" t="s">
        <v>198</v>
      </c>
      <c r="M35" s="142"/>
    </row>
    <row r="36" spans="1:13" ht="15.95" customHeight="1" x14ac:dyDescent="0.25">
      <c r="A36" s="177" t="s">
        <v>61</v>
      </c>
      <c r="B36" s="331"/>
      <c r="C36" s="178">
        <f>Диалог!J25*Диалог!M25</f>
        <v>1</v>
      </c>
      <c r="D36" s="178">
        <f>Диалог!L17</f>
        <v>10</v>
      </c>
      <c r="E36" s="178" t="str">
        <f>control!V6</f>
        <v>150</v>
      </c>
      <c r="F36" s="178">
        <f>Диалог!D15-2*D35</f>
        <v>2880</v>
      </c>
      <c r="G36" s="178">
        <f>D36</f>
        <v>10</v>
      </c>
      <c r="H36" s="178">
        <f t="shared" si="4"/>
        <v>170</v>
      </c>
      <c r="I36" s="178">
        <f>IF((F36+20)&gt;control!H11,3000,F36+20)</f>
        <v>3000</v>
      </c>
      <c r="J36" s="178">
        <f>ROUNDUP(H36/1000*I36/1000*G36/1000*C36*control!N1*control!N4,)</f>
        <v>45</v>
      </c>
      <c r="K36" s="179" t="s">
        <v>198</v>
      </c>
      <c r="L36" s="179" t="s">
        <v>198</v>
      </c>
      <c r="M36" s="142"/>
    </row>
    <row r="37" spans="1:13" ht="15.95" hidden="1" customHeight="1" x14ac:dyDescent="0.25">
      <c r="A37" s="332" t="s">
        <v>55</v>
      </c>
      <c r="B37" s="301" t="str">
        <f>"Труба "&amp;Диалог!D31&amp;"x"&amp;Диалог!G31&amp;"x"&amp;Диалог!I31&amp;control!I32</f>
        <v>Труба 426x16x3500 09Г2С ГОСТ Р 54159-2010</v>
      </c>
      <c r="C37" s="335">
        <v>2</v>
      </c>
      <c r="D37" s="318" t="str">
        <f>Диалог!I31/1000&amp;"x"&amp;C37&amp;" = "&amp;control!R17&amp;" м.п."&amp;CHAR(10)&amp;control!Q17&amp;"x"&amp;control!R17&amp;" = "&amp;control!S17&amp;" кг"</f>
        <v>3.5x2 = 7 м.п.
161.7x7 = 1132 кг</v>
      </c>
      <c r="E37" s="337"/>
      <c r="F37" s="337"/>
      <c r="G37" s="337"/>
      <c r="H37" s="337"/>
      <c r="I37" s="337"/>
      <c r="J37" s="338"/>
      <c r="K37" s="303" t="s">
        <v>198</v>
      </c>
      <c r="L37" s="303" t="s">
        <v>198</v>
      </c>
      <c r="M37" s="142"/>
    </row>
    <row r="38" spans="1:13" ht="15.95" hidden="1" customHeight="1" x14ac:dyDescent="0.25">
      <c r="A38" s="333"/>
      <c r="B38" s="334"/>
      <c r="C38" s="336"/>
      <c r="D38" s="324"/>
      <c r="E38" s="325"/>
      <c r="F38" s="325"/>
      <c r="G38" s="325"/>
      <c r="H38" s="325"/>
      <c r="I38" s="325"/>
      <c r="J38" s="326"/>
      <c r="K38" s="331"/>
      <c r="L38" s="331"/>
      <c r="M38" s="136"/>
    </row>
    <row r="39" spans="1:13" ht="15.95" hidden="1" customHeight="1" x14ac:dyDescent="0.25">
      <c r="A39" s="193" t="s">
        <v>202</v>
      </c>
      <c r="B39" s="178" t="str">
        <f>control!I30</f>
        <v>Сталь 09Г2С-15 ГОСТ 5520-79</v>
      </c>
      <c r="C39" s="178">
        <v>4</v>
      </c>
      <c r="D39" s="178">
        <f>control!R55</f>
        <v>16</v>
      </c>
      <c r="E39" s="178">
        <f>control!N17</f>
        <v>426</v>
      </c>
      <c r="F39" s="178">
        <f>control!N17</f>
        <v>426</v>
      </c>
      <c r="G39" s="178">
        <f>D39</f>
        <v>16</v>
      </c>
      <c r="H39" s="178">
        <f>E39+20</f>
        <v>446</v>
      </c>
      <c r="I39" s="178">
        <f>E39+20</f>
        <v>446</v>
      </c>
      <c r="J39" s="178">
        <f>ROUNDUP(H39/1000*I39/1000*G39/1000*C39*control!N1,)</f>
        <v>100</v>
      </c>
      <c r="K39" s="179" t="s">
        <v>198</v>
      </c>
      <c r="L39" s="179" t="s">
        <v>198</v>
      </c>
      <c r="M39" s="136"/>
    </row>
    <row r="40" spans="1:13" ht="15.95" hidden="1" customHeight="1" x14ac:dyDescent="0.25">
      <c r="A40" s="332" t="s">
        <v>203</v>
      </c>
      <c r="B40" s="301" t="str">
        <f>"Труба "&amp;control!R61&amp;"x"&amp;control!S61&amp;"x9000"&amp;control!I32</f>
        <v>Труба 28x3.5x9000 09Г2С ГОСТ Р 54159-2010</v>
      </c>
      <c r="C40" s="350">
        <f>control!W30</f>
        <v>47</v>
      </c>
      <c r="D40" s="318" t="str">
        <f>C40&amp;"x"&amp;9&amp;" = "&amp;control!X30&amp;" м.п."&amp;CHAR(10)&amp;control!X30&amp;"x"&amp;control!T61&amp;" = "&amp;control!Y30&amp;" кг"</f>
        <v>47x9 = 423 м.п.
423x2.12 = 897 кг</v>
      </c>
      <c r="E40" s="337"/>
      <c r="F40" s="337"/>
      <c r="G40" s="337"/>
      <c r="H40" s="337"/>
      <c r="I40" s="337"/>
      <c r="J40" s="338"/>
      <c r="K40" s="303" t="s">
        <v>198</v>
      </c>
      <c r="L40" s="303" t="s">
        <v>198</v>
      </c>
      <c r="M40" s="136"/>
    </row>
    <row r="41" spans="1:13" ht="15.95" hidden="1" customHeight="1" x14ac:dyDescent="0.25">
      <c r="A41" s="332"/>
      <c r="B41" s="334"/>
      <c r="C41" s="336"/>
      <c r="D41" s="324"/>
      <c r="E41" s="325"/>
      <c r="F41" s="325"/>
      <c r="G41" s="325"/>
      <c r="H41" s="325"/>
      <c r="I41" s="325"/>
      <c r="J41" s="326"/>
      <c r="K41" s="331"/>
      <c r="L41" s="331"/>
      <c r="M41" s="136"/>
    </row>
    <row r="42" spans="1:13" ht="15.95" customHeight="1" x14ac:dyDescent="0.25">
      <c r="A42" s="193" t="s">
        <v>227</v>
      </c>
      <c r="B42" s="194" t="str">
        <f>"Труба "&amp;control!J13&amp;"x"&amp;control!J14&amp;"x1500"&amp;control!I32</f>
        <v>Труба 219x14x1500 09Г2С ГОСТ Р 54159-2010</v>
      </c>
      <c r="C42" s="178">
        <v>1</v>
      </c>
      <c r="D42" s="286"/>
      <c r="E42" s="290"/>
      <c r="F42" s="290"/>
      <c r="G42" s="290"/>
      <c r="H42" s="290"/>
      <c r="I42" s="291"/>
      <c r="J42" s="178">
        <f>control!J15</f>
        <v>107</v>
      </c>
      <c r="K42" s="179" t="s">
        <v>198</v>
      </c>
      <c r="L42" s="179" t="s">
        <v>198</v>
      </c>
    </row>
    <row r="43" spans="1:13" ht="15.95" customHeight="1" x14ac:dyDescent="0.25">
      <c r="A43" s="193" t="s">
        <v>228</v>
      </c>
      <c r="B43" s="194" t="str">
        <f>"Труба  "&amp;control!K13&amp;"x"&amp;control!K14&amp;"x1500"&amp;control!I32</f>
        <v>Труба  168x11x1500 09Г2С ГОСТ Р 54159-2010</v>
      </c>
      <c r="C43" s="178">
        <v>1</v>
      </c>
      <c r="D43" s="286"/>
      <c r="E43" s="290"/>
      <c r="F43" s="290"/>
      <c r="G43" s="290"/>
      <c r="H43" s="290"/>
      <c r="I43" s="291"/>
      <c r="J43" s="178">
        <f>control!K15</f>
        <v>64</v>
      </c>
      <c r="K43" s="179" t="s">
        <v>198</v>
      </c>
      <c r="L43" s="179" t="s">
        <v>198</v>
      </c>
      <c r="M43" s="136"/>
    </row>
    <row r="44" spans="1:13" ht="15.95" customHeight="1" x14ac:dyDescent="0.25">
      <c r="A44" s="193" t="s">
        <v>229</v>
      </c>
      <c r="B44" s="194" t="str">
        <f>"Труба  "&amp;control!L13&amp;"x"&amp;control!L14&amp;"x1500"&amp;control!I32</f>
        <v>Труба  121x14x1500 09Г2С ГОСТ Р 54159-2010</v>
      </c>
      <c r="C44" s="178">
        <v>1</v>
      </c>
      <c r="D44" s="286"/>
      <c r="E44" s="290"/>
      <c r="F44" s="290"/>
      <c r="G44" s="290"/>
      <c r="H44" s="290"/>
      <c r="I44" s="291"/>
      <c r="J44" s="178">
        <f>control!L15</f>
        <v>56</v>
      </c>
      <c r="K44" s="179" t="s">
        <v>198</v>
      </c>
      <c r="L44" s="179" t="s">
        <v>198</v>
      </c>
      <c r="M44" s="136"/>
    </row>
    <row r="45" spans="1:13" ht="15.95" hidden="1" customHeight="1" x14ac:dyDescent="0.25">
      <c r="A45" s="311" t="s">
        <v>97</v>
      </c>
      <c r="B45" s="301" t="str">
        <f>control!N40</f>
        <v>Труба 25x2x4000-Ст20-В ГОСТ 550-75</v>
      </c>
      <c r="C45" s="315">
        <f>control!T30</f>
        <v>356</v>
      </c>
      <c r="D45" s="301" t="str">
        <f>control!T30&amp;"x"&amp;control!G1&amp;" = "&amp;control!T32&amp;" м.п."&amp;CHAR(10)&amp;control!T32&amp;"x"&amp;control!Q23&amp;" = "&amp;control!T34&amp;" кг"&amp;CHAR(10)&amp;control!N38&amp;" Гидроиспытание, раздача."</f>
        <v>356x4 = 1424 м.п.
1424x1.14 = 1624 кг
Предел текучести согласно ГОСТ. Гидроиспытание, раздача.</v>
      </c>
      <c r="E45" s="357"/>
      <c r="F45" s="357"/>
      <c r="G45" s="357"/>
      <c r="H45" s="318" t="str">
        <f>"С учетом 3% брака"&amp;CHAR(10)&amp;control!T28&amp;"х"&amp;control!G1&amp;" = "&amp;control!T36&amp;" м.п."&amp;CHAR(10)&amp;control!T36&amp;"x"&amp;control!Q23&amp;" = "&amp;control!T38&amp;" кг"</f>
        <v>С учетом 3% брака
367х4 = 1468 м.п.
1468x1.14 = 1674 кг</v>
      </c>
      <c r="I45" s="319"/>
      <c r="J45" s="320"/>
      <c r="K45" s="303" t="s">
        <v>198</v>
      </c>
      <c r="L45" s="303" t="s">
        <v>198</v>
      </c>
      <c r="M45" s="136"/>
    </row>
    <row r="46" spans="1:13" ht="15.95" hidden="1" customHeight="1" x14ac:dyDescent="0.25">
      <c r="A46" s="312"/>
      <c r="B46" s="317"/>
      <c r="C46" s="329"/>
      <c r="D46" s="358"/>
      <c r="E46" s="358"/>
      <c r="F46" s="358"/>
      <c r="G46" s="358"/>
      <c r="H46" s="321"/>
      <c r="I46" s="322"/>
      <c r="J46" s="323"/>
      <c r="K46" s="309"/>
      <c r="L46" s="309"/>
      <c r="M46" s="136"/>
    </row>
    <row r="47" spans="1:13" ht="15.95" hidden="1" customHeight="1" x14ac:dyDescent="0.25">
      <c r="A47" s="312"/>
      <c r="B47" s="317"/>
      <c r="C47" s="329"/>
      <c r="D47" s="358"/>
      <c r="E47" s="358"/>
      <c r="F47" s="358"/>
      <c r="G47" s="358"/>
      <c r="H47" s="321"/>
      <c r="I47" s="322"/>
      <c r="J47" s="323"/>
      <c r="K47" s="309"/>
      <c r="L47" s="309"/>
      <c r="M47" s="136"/>
    </row>
    <row r="48" spans="1:13" ht="15.95" hidden="1" customHeight="1" x14ac:dyDescent="0.25">
      <c r="A48" s="327"/>
      <c r="B48" s="328"/>
      <c r="C48" s="330"/>
      <c r="D48" s="359"/>
      <c r="E48" s="359"/>
      <c r="F48" s="359"/>
      <c r="G48" s="359"/>
      <c r="H48" s="360"/>
      <c r="I48" s="361"/>
      <c r="J48" s="362"/>
      <c r="K48" s="310"/>
      <c r="L48" s="310"/>
      <c r="M48" s="136"/>
    </row>
    <row r="49" spans="1:19" ht="15.95" hidden="1" customHeight="1" x14ac:dyDescent="0.25">
      <c r="A49" s="311" t="s">
        <v>246</v>
      </c>
      <c r="B49" s="314" t="str">
        <f>control!N42</f>
        <v>Труба АД1 37.4x5.5x3432 ТУ 1-3-67-98</v>
      </c>
      <c r="C49" s="315">
        <f>control!T30</f>
        <v>356</v>
      </c>
      <c r="D49" s="301" t="str">
        <f>control!T30&amp;"x"&amp;control!P28&amp;" = "&amp;control!T40&amp;" м.п."&amp;CHAR(10)&amp;control!T40&amp;"x"&amp;control!Q26&amp;" = "&amp;control!T42&amp;" кг"&amp;CHAR(10)&amp;"σв=6-10 кгс/мм2 не более,"&amp;CHAR(10)&amp;"δ=36% не менее"</f>
        <v>356x3.44 = 1225 м.п.
1225x1.5 = 1838 кг
σв=6-10 кгс/мм2 не более,
δ=36% не менее</v>
      </c>
      <c r="E49" s="316"/>
      <c r="F49" s="316"/>
      <c r="G49" s="316"/>
      <c r="H49" s="318" t="str">
        <f>"С учетом 3% брака"&amp;CHAR(10)&amp;control!T28&amp;"х"&amp;control!P28&amp;" = "&amp;control!T44&amp;" м.п."&amp;CHAR(10)&amp;control!T44&amp;"x"&amp;control!Q26&amp;" = "&amp;control!T46&amp;" кг"</f>
        <v>С учетом 3% брака
367х3.44 = 1263 м.п.
1263x1.5 = 1895 кг</v>
      </c>
      <c r="I49" s="319"/>
      <c r="J49" s="320"/>
      <c r="K49" s="303" t="s">
        <v>198</v>
      </c>
      <c r="L49" s="303" t="s">
        <v>198</v>
      </c>
      <c r="M49" s="136"/>
    </row>
    <row r="50" spans="1:19" ht="15.95" hidden="1" customHeight="1" x14ac:dyDescent="0.25">
      <c r="A50" s="312"/>
      <c r="B50" s="309"/>
      <c r="C50" s="309"/>
      <c r="D50" s="317"/>
      <c r="E50" s="317"/>
      <c r="F50" s="317"/>
      <c r="G50" s="317"/>
      <c r="H50" s="321"/>
      <c r="I50" s="322"/>
      <c r="J50" s="323"/>
      <c r="K50" s="309"/>
      <c r="L50" s="309"/>
      <c r="M50" s="136"/>
    </row>
    <row r="51" spans="1:19" ht="15.95" hidden="1" customHeight="1" x14ac:dyDescent="0.25">
      <c r="A51" s="312"/>
      <c r="B51" s="309"/>
      <c r="C51" s="309"/>
      <c r="D51" s="317"/>
      <c r="E51" s="317"/>
      <c r="F51" s="317"/>
      <c r="G51" s="317"/>
      <c r="H51" s="321"/>
      <c r="I51" s="322"/>
      <c r="J51" s="323"/>
      <c r="K51" s="309"/>
      <c r="L51" s="309"/>
      <c r="M51" s="136"/>
    </row>
    <row r="52" spans="1:19" ht="15.95" hidden="1" customHeight="1" x14ac:dyDescent="0.25">
      <c r="A52" s="313"/>
      <c r="B52" s="305"/>
      <c r="C52" s="305"/>
      <c r="D52" s="305"/>
      <c r="E52" s="305"/>
      <c r="F52" s="305"/>
      <c r="G52" s="305"/>
      <c r="H52" s="324"/>
      <c r="I52" s="325"/>
      <c r="J52" s="326"/>
      <c r="K52" s="305"/>
      <c r="L52" s="305"/>
      <c r="M52" s="136"/>
    </row>
    <row r="53" spans="1:19" ht="15.95" customHeight="1" x14ac:dyDescent="0.25">
      <c r="A53" s="298" t="str">
        <f>"Труба оребренная"&amp;control!M26</f>
        <v>Труба оребренная
G-fin</v>
      </c>
      <c r="B53" s="301" t="str">
        <f>control!N40&amp;CHAR(10)&amp;"Оребрение "&amp;control!Q30</f>
        <v>Труба 25x2x4000-Ст20-В ГОСТ 550-75
Оребрение 08КП</v>
      </c>
      <c r="C53" s="301" t="str">
        <f>control!N44</f>
        <v>356 шт;
коэффициент оребрения 20; диаметр по оребрению 57 мм; 
толщина ребра 0.3 мм; шаг ребра 2.5 мм</v>
      </c>
      <c r="D53" s="353"/>
      <c r="E53" s="353"/>
      <c r="F53" s="353"/>
      <c r="G53" s="353"/>
      <c r="H53" s="353"/>
      <c r="I53" s="353"/>
      <c r="J53" s="353"/>
      <c r="K53" s="303" t="s">
        <v>198</v>
      </c>
      <c r="L53" s="303" t="s">
        <v>198</v>
      </c>
      <c r="M53" s="136"/>
    </row>
    <row r="54" spans="1:19" ht="15.95" customHeight="1" x14ac:dyDescent="0.25">
      <c r="A54" s="299"/>
      <c r="B54" s="302"/>
      <c r="C54" s="302"/>
      <c r="D54" s="302"/>
      <c r="E54" s="302"/>
      <c r="F54" s="302"/>
      <c r="G54" s="302"/>
      <c r="H54" s="302"/>
      <c r="I54" s="302"/>
      <c r="J54" s="302"/>
      <c r="K54" s="304"/>
      <c r="L54" s="304"/>
      <c r="M54" s="136"/>
      <c r="N54" s="224" t="s">
        <v>289</v>
      </c>
      <c r="S54" s="372"/>
    </row>
    <row r="55" spans="1:19" ht="15.95" customHeight="1" x14ac:dyDescent="0.25">
      <c r="A55" s="300"/>
      <c r="B55" s="300"/>
      <c r="C55" s="300"/>
      <c r="D55" s="300"/>
      <c r="E55" s="300"/>
      <c r="F55" s="300"/>
      <c r="G55" s="300"/>
      <c r="H55" s="300"/>
      <c r="I55" s="300"/>
      <c r="J55" s="300"/>
      <c r="K55" s="305"/>
      <c r="L55" s="305"/>
      <c r="M55" s="136"/>
    </row>
    <row r="56" spans="1:19" ht="15.95" customHeight="1" x14ac:dyDescent="0.25">
      <c r="A56" s="214" t="str">
        <f>"Пробка М"&amp;control!M32&amp;"x42"</f>
        <v>Пробка М30x42</v>
      </c>
      <c r="B56" s="208" t="str">
        <f>control!I28</f>
        <v>Сталь 09Г2С-15 ГОСТ 5520-79</v>
      </c>
      <c r="C56" s="215">
        <f>C45*2+IF(control!K6,0,4)</f>
        <v>712</v>
      </c>
      <c r="D56" s="286" t="str">
        <f>IF(control!P57,"учесть требования к испытаниям метизов","")</f>
        <v>учесть требования к испытаниям метизов</v>
      </c>
      <c r="E56" s="287"/>
      <c r="F56" s="287"/>
      <c r="G56" s="287"/>
      <c r="H56" s="287"/>
      <c r="I56" s="287"/>
      <c r="J56" s="288"/>
      <c r="K56" s="216" t="s">
        <v>198</v>
      </c>
      <c r="L56" s="216" t="s">
        <v>198</v>
      </c>
      <c r="M56" s="136"/>
    </row>
    <row r="57" spans="1:19" ht="15.95" customHeight="1" x14ac:dyDescent="0.25">
      <c r="A57" s="217" t="s">
        <v>280</v>
      </c>
      <c r="B57" s="208" t="s">
        <v>281</v>
      </c>
      <c r="C57" s="215">
        <f>C56</f>
        <v>712</v>
      </c>
      <c r="D57" s="286"/>
      <c r="E57" s="289"/>
      <c r="F57" s="289"/>
      <c r="G57" s="289"/>
      <c r="H57" s="289"/>
      <c r="I57" s="289"/>
      <c r="J57" s="181">
        <f>ROUNDUP(control!M34*control!M34*2*8.9*C57,)</f>
        <v>32</v>
      </c>
      <c r="K57" s="216" t="s">
        <v>198</v>
      </c>
      <c r="L57" s="216" t="s">
        <v>198</v>
      </c>
      <c r="M57" s="136"/>
    </row>
    <row r="58" spans="1:19" ht="15.95" customHeight="1" x14ac:dyDescent="0.25">
      <c r="A58" s="209" t="str">
        <f>"Фланец "&amp;IF(control!J6,"входа","входа/выхода")</f>
        <v>Фланец входа</v>
      </c>
      <c r="B58" s="210"/>
      <c r="C58" s="210">
        <f>control!J10</f>
        <v>4</v>
      </c>
      <c r="D58" s="286" t="str">
        <f>"Фланец "&amp;control!J8&amp;"-"&amp;control!J11&amp;"-11-1-"&amp;control!J12&amp;"-"&amp;control!M7&amp;"-VI ГОСТ 33259-2015"</f>
        <v>Фланец 200-25-11-1-B-09Г2С-VI ГОСТ 33259-2015</v>
      </c>
      <c r="E58" s="290"/>
      <c r="F58" s="290"/>
      <c r="G58" s="290"/>
      <c r="H58" s="290"/>
      <c r="I58" s="290"/>
      <c r="J58" s="291"/>
      <c r="K58" s="179" t="s">
        <v>198</v>
      </c>
      <c r="L58" s="179" t="s">
        <v>198</v>
      </c>
      <c r="M58" s="136"/>
    </row>
    <row r="59" spans="1:19" ht="15.95" customHeight="1" x14ac:dyDescent="0.25">
      <c r="A59" s="209" t="str">
        <f>"Фланец "&amp;IF(control!J6,"входа","входа/выхода")</f>
        <v>Фланец входа</v>
      </c>
      <c r="B59" s="210" t="s">
        <v>261</v>
      </c>
      <c r="C59" s="210">
        <f>control!J10</f>
        <v>4</v>
      </c>
      <c r="D59" s="286" t="str">
        <f>"Фланец "&amp;control!J8&amp;"-"&amp;control!J11&amp;"-11-1-"&amp;control!W13&amp;"-"&amp;control!M7&amp;"-VI ГОСТ 33259-2015"</f>
        <v>Фланец 200-25-11-1-B-09Г2С-VI ГОСТ 33259-2015</v>
      </c>
      <c r="E59" s="290"/>
      <c r="F59" s="290"/>
      <c r="G59" s="290"/>
      <c r="H59" s="290"/>
      <c r="I59" s="290"/>
      <c r="J59" s="291"/>
      <c r="K59" s="179" t="s">
        <v>198</v>
      </c>
      <c r="L59" s="179" t="s">
        <v>198</v>
      </c>
      <c r="M59" s="136"/>
    </row>
    <row r="60" spans="1:19" ht="15.95" customHeight="1" x14ac:dyDescent="0.25">
      <c r="A60" s="209" t="s">
        <v>252</v>
      </c>
      <c r="B60" s="210"/>
      <c r="C60" s="210">
        <f>control!K10</f>
        <v>4</v>
      </c>
      <c r="D60" s="286" t="str">
        <f>"Фланец "&amp;control!K8&amp;"-"&amp;control!K11&amp;"-11-1-"&amp;control!K12&amp;"-"&amp;control!N7&amp;"-VI ГОСТ 33259-2015"</f>
        <v>Фланец 150-25-11-1-B-09Г2С-VI ГОСТ 33259-2015</v>
      </c>
      <c r="E60" s="290"/>
      <c r="F60" s="290"/>
      <c r="G60" s="290"/>
      <c r="H60" s="290"/>
      <c r="I60" s="290"/>
      <c r="J60" s="291"/>
      <c r="K60" s="179" t="s">
        <v>198</v>
      </c>
      <c r="L60" s="179" t="s">
        <v>198</v>
      </c>
      <c r="M60" s="136"/>
    </row>
    <row r="61" spans="1:19" ht="15.95" customHeight="1" x14ac:dyDescent="0.25">
      <c r="A61" s="193" t="s">
        <v>252</v>
      </c>
      <c r="B61" s="178" t="s">
        <v>261</v>
      </c>
      <c r="C61" s="178">
        <f>control!K10</f>
        <v>4</v>
      </c>
      <c r="D61" s="286" t="str">
        <f>"Фланец "&amp;control!K8&amp;"-"&amp;control!K11&amp;"-11-1-"&amp;control!X13&amp;"-"&amp;control!N7&amp;"-VI ГОСТ 33259-2015"</f>
        <v>Фланец 150-25-11-1-B-09Г2С-VI ГОСТ 33259-2015</v>
      </c>
      <c r="E61" s="351"/>
      <c r="F61" s="351"/>
      <c r="G61" s="351"/>
      <c r="H61" s="351"/>
      <c r="I61" s="351"/>
      <c r="J61" s="352"/>
      <c r="K61" s="179" t="s">
        <v>198</v>
      </c>
      <c r="L61" s="179" t="s">
        <v>198</v>
      </c>
      <c r="M61" s="136"/>
    </row>
    <row r="62" spans="1:19" ht="15.95" customHeight="1" x14ac:dyDescent="0.25">
      <c r="A62" s="200" t="s">
        <v>253</v>
      </c>
      <c r="B62" s="178"/>
      <c r="C62" s="178">
        <f>control!L10</f>
        <v>4</v>
      </c>
      <c r="D62" s="286" t="str">
        <f>"Фланец "&amp;control!L8&amp;"-"&amp;control!L11&amp;"-11-1-"&amp;control!L12&amp;"-"&amp;control!O7&amp;"-VI ГОСТ 33259-2015"</f>
        <v>Фланец 100-25-11-1-B-09Г2С-VI ГОСТ 33259-2015</v>
      </c>
      <c r="E62" s="351"/>
      <c r="F62" s="351"/>
      <c r="G62" s="351"/>
      <c r="H62" s="351"/>
      <c r="I62" s="351"/>
      <c r="J62" s="352"/>
      <c r="K62" s="179" t="s">
        <v>198</v>
      </c>
      <c r="L62" s="179" t="s">
        <v>198</v>
      </c>
      <c r="M62" s="136"/>
    </row>
    <row r="63" spans="1:19" ht="15.95" customHeight="1" x14ac:dyDescent="0.25">
      <c r="A63" s="193" t="s">
        <v>253</v>
      </c>
      <c r="B63" s="178" t="s">
        <v>261</v>
      </c>
      <c r="C63" s="178">
        <f>control!L10</f>
        <v>4</v>
      </c>
      <c r="D63" s="286" t="str">
        <f>"Фланец "&amp;control!L8&amp;"-"&amp;control!L11&amp;"-11-1-"&amp;control!Y13&amp;"-"&amp;control!O7&amp;"-VI ГОСТ 33259-2015"</f>
        <v>Фланец 100-25-11-1-B-09Г2С-VI ГОСТ 33259-2015</v>
      </c>
      <c r="E63" s="351"/>
      <c r="F63" s="351"/>
      <c r="G63" s="351"/>
      <c r="H63" s="351"/>
      <c r="I63" s="351"/>
      <c r="J63" s="352"/>
      <c r="K63" s="179" t="s">
        <v>198</v>
      </c>
      <c r="L63" s="179" t="s">
        <v>198</v>
      </c>
      <c r="M63" s="136"/>
    </row>
    <row r="64" spans="1:19" ht="15.95" customHeight="1" x14ac:dyDescent="0.25">
      <c r="A64" s="292" t="str">
        <f>"Шпилька
фланец "&amp;IF(control!J6,"входа","входа/выхода")</f>
        <v>Шпилька
фланец входа</v>
      </c>
      <c r="B64" s="294" t="str">
        <f>"Сталь "&amp;control!F14&amp;" ГОСТ "&amp;control!G14&amp;CHAR(10)&amp;IF(control!P57,control!N68,"")</f>
        <v>Сталь 40Х ГОСТ 4543-71
Испытание на ударную взякость при температуре равной минус 60°С с острым надрезом. Разность твердости гаек и шпилек не менее 15НВ.</v>
      </c>
      <c r="C64" s="306">
        <f ca="1">control!N59</f>
        <v>48</v>
      </c>
      <c r="D64" s="307" t="str">
        <f ca="1">control!N62</f>
        <v>Шпилька 2-1-М24-8gx150.40Х.05 ОСТ 26-2040-96</v>
      </c>
      <c r="E64" s="285"/>
      <c r="F64" s="285"/>
      <c r="G64" s="285"/>
      <c r="H64" s="285"/>
      <c r="I64" s="285"/>
      <c r="J64" s="285"/>
      <c r="K64" s="284" t="s">
        <v>198</v>
      </c>
      <c r="L64" s="284" t="s">
        <v>198</v>
      </c>
      <c r="M64" s="136"/>
    </row>
    <row r="65" spans="1:13" ht="15.95" customHeight="1" x14ac:dyDescent="0.25">
      <c r="A65" s="293"/>
      <c r="B65" s="295"/>
      <c r="C65" s="285"/>
      <c r="D65" s="285"/>
      <c r="E65" s="285"/>
      <c r="F65" s="285"/>
      <c r="G65" s="285"/>
      <c r="H65" s="285"/>
      <c r="I65" s="285"/>
      <c r="J65" s="285"/>
      <c r="K65" s="285"/>
      <c r="L65" s="285"/>
      <c r="M65" s="136"/>
    </row>
    <row r="66" spans="1:13" ht="15.95" customHeight="1" x14ac:dyDescent="0.25">
      <c r="A66" s="292" t="str">
        <f>"Гайка
фланец "&amp;IF(control!J6,"входа","входа/выхода")</f>
        <v>Гайка
фланец входа</v>
      </c>
      <c r="B66" s="295"/>
      <c r="C66" s="306">
        <f ca="1">C64*2</f>
        <v>96</v>
      </c>
      <c r="D66" s="307" t="str">
        <f ca="1">control!N65</f>
        <v>Гайка М24-7Н.40Х.05 ОСТ 26-2041-96</v>
      </c>
      <c r="E66" s="285"/>
      <c r="F66" s="285"/>
      <c r="G66" s="285"/>
      <c r="H66" s="285"/>
      <c r="I66" s="285"/>
      <c r="J66" s="285"/>
      <c r="K66" s="284" t="s">
        <v>198</v>
      </c>
      <c r="L66" s="284" t="s">
        <v>198</v>
      </c>
      <c r="M66" s="136"/>
    </row>
    <row r="67" spans="1:13" ht="15.95" customHeight="1" x14ac:dyDescent="0.25">
      <c r="A67" s="297"/>
      <c r="B67" s="295"/>
      <c r="C67" s="285"/>
      <c r="D67" s="285"/>
      <c r="E67" s="285"/>
      <c r="F67" s="285"/>
      <c r="G67" s="285"/>
      <c r="H67" s="285"/>
      <c r="I67" s="285"/>
      <c r="J67" s="285"/>
      <c r="K67" s="285"/>
      <c r="L67" s="285"/>
      <c r="M67" s="136"/>
    </row>
    <row r="68" spans="1:13" ht="15.95" customHeight="1" x14ac:dyDescent="0.25">
      <c r="A68" s="292" t="s">
        <v>262</v>
      </c>
      <c r="B68" s="295"/>
      <c r="C68" s="306">
        <f ca="1">control!O59</f>
        <v>32</v>
      </c>
      <c r="D68" s="307" t="str">
        <f ca="1">control!N63</f>
        <v>Шпилька 2-1-М24-8gx130.40Х.05 ОСТ 26-2040-96</v>
      </c>
      <c r="E68" s="308"/>
      <c r="F68" s="308"/>
      <c r="G68" s="308"/>
      <c r="H68" s="308"/>
      <c r="I68" s="308"/>
      <c r="J68" s="308"/>
      <c r="K68" s="284" t="s">
        <v>198</v>
      </c>
      <c r="L68" s="284" t="s">
        <v>198</v>
      </c>
      <c r="M68" s="136"/>
    </row>
    <row r="69" spans="1:13" ht="15.95" customHeight="1" x14ac:dyDescent="0.25">
      <c r="A69" s="293"/>
      <c r="B69" s="295"/>
      <c r="C69" s="285"/>
      <c r="D69" s="308"/>
      <c r="E69" s="308"/>
      <c r="F69" s="308"/>
      <c r="G69" s="308"/>
      <c r="H69" s="308"/>
      <c r="I69" s="308"/>
      <c r="J69" s="308"/>
      <c r="K69" s="285"/>
      <c r="L69" s="285"/>
      <c r="M69" s="136"/>
    </row>
    <row r="70" spans="1:13" ht="15.95" customHeight="1" x14ac:dyDescent="0.25">
      <c r="A70" s="292" t="s">
        <v>263</v>
      </c>
      <c r="B70" s="295"/>
      <c r="C70" s="306">
        <f ca="1">C68*2</f>
        <v>64</v>
      </c>
      <c r="D70" s="306" t="str">
        <f ca="1">control!N66</f>
        <v>Гайка М24-7Н.40Х.05 ОСТ 26-2041-96</v>
      </c>
      <c r="E70" s="285"/>
      <c r="F70" s="285"/>
      <c r="G70" s="285"/>
      <c r="H70" s="285"/>
      <c r="I70" s="285"/>
      <c r="J70" s="285"/>
      <c r="K70" s="284" t="s">
        <v>198</v>
      </c>
      <c r="L70" s="284" t="s">
        <v>198</v>
      </c>
      <c r="M70" s="136"/>
    </row>
    <row r="71" spans="1:13" ht="15.95" customHeight="1" x14ac:dyDescent="0.25">
      <c r="A71" s="293"/>
      <c r="B71" s="295"/>
      <c r="C71" s="285"/>
      <c r="D71" s="285"/>
      <c r="E71" s="285"/>
      <c r="F71" s="285"/>
      <c r="G71" s="285"/>
      <c r="H71" s="285"/>
      <c r="I71" s="285"/>
      <c r="J71" s="285"/>
      <c r="K71" s="285"/>
      <c r="L71" s="285"/>
      <c r="M71" s="136"/>
    </row>
    <row r="72" spans="1:13" ht="15.95" customHeight="1" x14ac:dyDescent="0.25">
      <c r="A72" s="292" t="s">
        <v>264</v>
      </c>
      <c r="B72" s="295"/>
      <c r="C72" s="306">
        <f ca="1">control!P59</f>
        <v>32</v>
      </c>
      <c r="D72" s="306" t="str">
        <f ca="1">control!N64</f>
        <v>Шпилька 2-1-М20-8gx110.40Х.05 ОСТ 26-2040-96</v>
      </c>
      <c r="E72" s="285"/>
      <c r="F72" s="285"/>
      <c r="G72" s="285"/>
      <c r="H72" s="285"/>
      <c r="I72" s="285"/>
      <c r="J72" s="285"/>
      <c r="K72" s="284" t="s">
        <v>198</v>
      </c>
      <c r="L72" s="284" t="s">
        <v>198</v>
      </c>
      <c r="M72" s="136"/>
    </row>
    <row r="73" spans="1:13" ht="15.95" customHeight="1" x14ac:dyDescent="0.25">
      <c r="A73" s="293"/>
      <c r="B73" s="295"/>
      <c r="C73" s="285"/>
      <c r="D73" s="285"/>
      <c r="E73" s="285"/>
      <c r="F73" s="285"/>
      <c r="G73" s="285"/>
      <c r="H73" s="285"/>
      <c r="I73" s="285"/>
      <c r="J73" s="285"/>
      <c r="K73" s="285"/>
      <c r="L73" s="285"/>
      <c r="M73" s="136"/>
    </row>
    <row r="74" spans="1:13" ht="15.95" customHeight="1" x14ac:dyDescent="0.25">
      <c r="A74" s="292" t="s">
        <v>265</v>
      </c>
      <c r="B74" s="295"/>
      <c r="C74" s="306">
        <f ca="1">C72*2</f>
        <v>64</v>
      </c>
      <c r="D74" s="306" t="str">
        <f ca="1">control!N67</f>
        <v>Гайка М20-7Н.40Х.05 ОСТ 26-2041-96</v>
      </c>
      <c r="E74" s="285"/>
      <c r="F74" s="285"/>
      <c r="G74" s="285"/>
      <c r="H74" s="285"/>
      <c r="I74" s="285"/>
      <c r="J74" s="285"/>
      <c r="K74" s="284" t="s">
        <v>198</v>
      </c>
      <c r="L74" s="284" t="s">
        <v>198</v>
      </c>
      <c r="M74" s="136"/>
    </row>
    <row r="75" spans="1:13" ht="15.95" customHeight="1" x14ac:dyDescent="0.25">
      <c r="A75" s="293"/>
      <c r="B75" s="296"/>
      <c r="C75" s="285"/>
      <c r="D75" s="285"/>
      <c r="E75" s="285"/>
      <c r="F75" s="285"/>
      <c r="G75" s="285"/>
      <c r="H75" s="285"/>
      <c r="I75" s="285"/>
      <c r="J75" s="285"/>
      <c r="K75" s="285"/>
      <c r="L75" s="285"/>
      <c r="M75" s="136"/>
    </row>
    <row r="76" spans="1:13" ht="15.95" customHeight="1" x14ac:dyDescent="0.25">
      <c r="A76" s="180" t="s">
        <v>284</v>
      </c>
      <c r="B76" s="218" t="s">
        <v>285</v>
      </c>
      <c r="C76" s="354"/>
      <c r="D76" s="355"/>
      <c r="E76" s="355"/>
      <c r="F76" s="355"/>
      <c r="G76" s="355"/>
      <c r="H76" s="355"/>
      <c r="I76" s="356"/>
      <c r="J76" s="218">
        <f>control!T64</f>
        <v>4</v>
      </c>
      <c r="K76" s="219" t="s">
        <v>198</v>
      </c>
      <c r="L76" s="219" t="s">
        <v>198</v>
      </c>
      <c r="M76" s="136"/>
    </row>
    <row r="77" spans="1:13" ht="15.95" customHeight="1" x14ac:dyDescent="0.25">
      <c r="A77" s="222"/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136"/>
    </row>
    <row r="78" spans="1:13" ht="15.95" customHeight="1" x14ac:dyDescent="0.25">
      <c r="A78" s="222"/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136"/>
    </row>
    <row r="79" spans="1:13" ht="15.95" customHeight="1" x14ac:dyDescent="0.25">
      <c r="A79" s="222"/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136"/>
    </row>
    <row r="80" spans="1:13" ht="15.95" customHeight="1" x14ac:dyDescent="0.25">
      <c r="A80" s="222"/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136"/>
    </row>
    <row r="81" spans="1:14" ht="15.95" customHeight="1" x14ac:dyDescent="0.25">
      <c r="A81" s="222"/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136"/>
    </row>
    <row r="82" spans="1:14" ht="15.95" customHeight="1" x14ac:dyDescent="0.25">
      <c r="A82" s="222"/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136"/>
    </row>
    <row r="83" spans="1:14" ht="15.95" customHeight="1" x14ac:dyDescent="0.25">
      <c r="A83" s="222"/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136"/>
    </row>
    <row r="84" spans="1:14" ht="15.95" customHeight="1" x14ac:dyDescent="0.25">
      <c r="A84" s="203"/>
      <c r="B84" s="188"/>
      <c r="C84" s="188"/>
      <c r="D84" s="188"/>
      <c r="E84" s="188"/>
      <c r="F84" s="188"/>
      <c r="G84" s="188"/>
      <c r="H84" s="188"/>
      <c r="I84" s="188"/>
      <c r="J84" s="188"/>
      <c r="K84" s="188"/>
      <c r="L84" s="188"/>
      <c r="M84" s="136"/>
    </row>
    <row r="85" spans="1:14" ht="15.95" customHeight="1" x14ac:dyDescent="0.25">
      <c r="A85" s="180" t="s">
        <v>58</v>
      </c>
      <c r="B85" s="183" t="str">
        <f>"Сталь 09Г2С-"&amp;control!G33&amp;" ГОСТ 19281-2014"</f>
        <v>Сталь 09Г2С-15 ГОСТ 19281-2014</v>
      </c>
      <c r="C85" s="181">
        <v>2</v>
      </c>
      <c r="D85" s="181">
        <f>IF(VALUE(control!G1)&gt;6,8,6)</f>
        <v>6</v>
      </c>
      <c r="E85" s="181">
        <f>control!P53</f>
        <v>680</v>
      </c>
      <c r="F85" s="187">
        <f>control!G1*1000</f>
        <v>4000</v>
      </c>
      <c r="G85" s="181">
        <f>D85</f>
        <v>6</v>
      </c>
      <c r="H85" s="181">
        <f>E85+20</f>
        <v>700</v>
      </c>
      <c r="I85" s="187">
        <f>F85+20</f>
        <v>4020</v>
      </c>
      <c r="J85" s="181">
        <f>ROUNDUP(H85/1000*I85/1000*G85/1000*C85*7850*control!N4,)</f>
        <v>292</v>
      </c>
      <c r="K85" s="182" t="s">
        <v>198</v>
      </c>
      <c r="L85" s="182" t="s">
        <v>198</v>
      </c>
      <c r="N85" s="136" t="s">
        <v>230</v>
      </c>
    </row>
    <row r="86" spans="1:14" ht="15.95" customHeight="1" x14ac:dyDescent="0.25">
      <c r="A86" s="185"/>
      <c r="B86" s="186"/>
      <c r="C86" s="185"/>
      <c r="D86" s="185"/>
      <c r="E86" s="185"/>
      <c r="F86" s="185"/>
      <c r="G86" s="185"/>
      <c r="H86" s="185"/>
      <c r="I86" s="185"/>
      <c r="J86" s="185"/>
      <c r="K86" s="185"/>
      <c r="L86" s="185"/>
      <c r="M86" s="136"/>
    </row>
    <row r="87" spans="1:14" ht="15.95" customHeight="1" x14ac:dyDescent="0.25">
      <c r="A87" s="185"/>
      <c r="B87" s="186"/>
      <c r="C87" s="185"/>
      <c r="D87" s="185"/>
      <c r="E87" s="185"/>
      <c r="F87" s="185"/>
      <c r="G87" s="185"/>
      <c r="H87" s="185"/>
      <c r="I87" s="185"/>
      <c r="J87" s="185"/>
      <c r="K87" s="185"/>
      <c r="L87" s="185"/>
      <c r="M87" s="136"/>
    </row>
    <row r="88" spans="1:14" ht="15.95" customHeight="1" x14ac:dyDescent="0.25">
      <c r="A88" s="185"/>
      <c r="B88" s="186"/>
      <c r="C88" s="185"/>
      <c r="D88" s="185"/>
      <c r="E88" s="185"/>
      <c r="F88" s="185"/>
      <c r="G88" s="185"/>
      <c r="H88" s="185"/>
      <c r="I88" s="185"/>
      <c r="J88" s="185"/>
      <c r="K88" s="185"/>
      <c r="L88" s="185"/>
      <c r="M88" s="136"/>
    </row>
    <row r="89" spans="1:14" ht="15.95" customHeight="1" x14ac:dyDescent="0.25">
      <c r="A89" s="185"/>
      <c r="B89" s="186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36"/>
    </row>
    <row r="90" spans="1:14" ht="15.95" customHeight="1" x14ac:dyDescent="0.25">
      <c r="A90" s="185"/>
      <c r="B90" s="186"/>
      <c r="C90" s="185"/>
      <c r="D90" s="185"/>
      <c r="E90" s="185"/>
      <c r="F90" s="185"/>
      <c r="G90" s="185"/>
      <c r="H90" s="185"/>
      <c r="I90" s="185"/>
      <c r="J90" s="185"/>
      <c r="K90" s="185"/>
      <c r="L90" s="185"/>
      <c r="M90" s="136"/>
    </row>
    <row r="91" spans="1:14" ht="15.95" customHeight="1" x14ac:dyDescent="0.25">
      <c r="A91" s="188"/>
      <c r="B91" s="188"/>
      <c r="C91" s="188"/>
      <c r="D91" s="188"/>
      <c r="E91" s="188"/>
      <c r="F91" s="188"/>
      <c r="G91" s="188"/>
      <c r="H91" s="188"/>
      <c r="I91" s="188"/>
      <c r="J91" s="188"/>
      <c r="K91" s="188"/>
      <c r="L91" s="188"/>
      <c r="M91" s="136"/>
    </row>
    <row r="92" spans="1:14" ht="15.95" hidden="1" customHeight="1" x14ac:dyDescent="0.25">
      <c r="A92" s="210" t="s">
        <v>220</v>
      </c>
      <c r="B92" s="210"/>
      <c r="C92" s="189">
        <f>control!U30</f>
        <v>405</v>
      </c>
      <c r="D92" s="286"/>
      <c r="E92" s="290"/>
      <c r="F92" s="290"/>
      <c r="G92" s="290"/>
      <c r="H92" s="290"/>
      <c r="I92" s="290"/>
      <c r="J92" s="291"/>
      <c r="K92" s="179" t="s">
        <v>198</v>
      </c>
      <c r="L92" s="179" t="s">
        <v>198</v>
      </c>
      <c r="M92" s="136"/>
    </row>
    <row r="93" spans="1:14" ht="15.95" customHeight="1" x14ac:dyDescent="0.25">
      <c r="A93" s="188"/>
      <c r="B93" s="188"/>
      <c r="C93" s="188"/>
      <c r="D93" s="188"/>
      <c r="E93" s="188"/>
      <c r="F93" s="188"/>
      <c r="G93" s="188"/>
      <c r="H93" s="188"/>
      <c r="I93" s="188"/>
      <c r="J93" s="188"/>
      <c r="K93" s="188"/>
      <c r="L93" s="188"/>
      <c r="M93" s="136"/>
    </row>
    <row r="94" spans="1:14" ht="15.95" customHeight="1" x14ac:dyDescent="0.25">
      <c r="A94" s="188"/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36"/>
    </row>
    <row r="95" spans="1:14" ht="15.95" customHeight="1" x14ac:dyDescent="0.25">
      <c r="A95" s="188"/>
      <c r="B95" s="188"/>
      <c r="C95" s="188"/>
      <c r="D95" s="188"/>
      <c r="E95" s="188"/>
      <c r="F95" s="188"/>
      <c r="G95" s="188"/>
      <c r="H95" s="188"/>
      <c r="I95" s="188"/>
      <c r="J95" s="188"/>
      <c r="K95" s="188"/>
      <c r="L95" s="188"/>
      <c r="M95" s="136"/>
    </row>
    <row r="96" spans="1:14" ht="15.95" customHeight="1" x14ac:dyDescent="0.25">
      <c r="A96" s="188"/>
      <c r="B96" s="188"/>
      <c r="C96" s="188"/>
      <c r="D96" s="188"/>
      <c r="E96" s="188"/>
      <c r="F96" s="188"/>
      <c r="G96" s="188"/>
      <c r="H96" s="188"/>
      <c r="I96" s="188"/>
      <c r="J96" s="188"/>
      <c r="K96" s="188"/>
      <c r="L96" s="188"/>
      <c r="M96" s="136"/>
    </row>
    <row r="97" spans="1:13" ht="15.95" customHeight="1" x14ac:dyDescent="0.25">
      <c r="A97" s="188"/>
      <c r="B97" s="188"/>
      <c r="C97" s="188"/>
      <c r="D97" s="188"/>
      <c r="E97" s="188"/>
      <c r="F97" s="188"/>
      <c r="G97" s="188"/>
      <c r="H97" s="188"/>
      <c r="I97" s="188"/>
      <c r="J97" s="188"/>
      <c r="K97" s="188"/>
      <c r="L97" s="188"/>
      <c r="M97" s="136"/>
    </row>
    <row r="98" spans="1:13" ht="15.95" customHeight="1" x14ac:dyDescent="0.25">
      <c r="A98" s="188"/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36"/>
    </row>
    <row r="99" spans="1:13" ht="15.95" customHeight="1" x14ac:dyDescent="0.25">
      <c r="A99" s="188"/>
      <c r="B99" s="188"/>
      <c r="C99" s="188"/>
      <c r="D99" s="188"/>
      <c r="E99" s="188"/>
      <c r="F99" s="188"/>
      <c r="G99" s="188"/>
      <c r="H99" s="188"/>
      <c r="I99" s="188"/>
      <c r="J99" s="188"/>
      <c r="K99" s="188"/>
      <c r="L99" s="188"/>
      <c r="M99" s="136"/>
    </row>
    <row r="100" spans="1:13" ht="15.95" customHeight="1" x14ac:dyDescent="0.25">
      <c r="A100" s="184"/>
      <c r="B100" s="190"/>
      <c r="C100" s="190"/>
      <c r="D100" s="190"/>
      <c r="E100" s="190"/>
      <c r="F100" s="190"/>
      <c r="G100" s="190"/>
      <c r="H100" s="190"/>
      <c r="I100" s="190"/>
      <c r="J100" s="190"/>
      <c r="K100" s="190"/>
      <c r="L100" s="190"/>
      <c r="M100" s="136"/>
    </row>
    <row r="101" spans="1:13" ht="15.95" customHeight="1" x14ac:dyDescent="0.25">
      <c r="A101" s="184"/>
      <c r="B101" s="184"/>
      <c r="C101" s="184"/>
      <c r="D101" s="184"/>
      <c r="E101" s="184"/>
      <c r="F101" s="184"/>
      <c r="G101" s="184"/>
      <c r="H101" s="184"/>
      <c r="I101" s="184"/>
      <c r="J101" s="184"/>
      <c r="K101" s="184"/>
      <c r="L101" s="184"/>
      <c r="M101" s="136"/>
    </row>
    <row r="102" spans="1:13" ht="15.95" customHeight="1" x14ac:dyDescent="0.25">
      <c r="A102" s="184"/>
      <c r="B102" s="184"/>
      <c r="C102" s="184"/>
      <c r="D102" s="184"/>
      <c r="E102" s="184"/>
      <c r="F102" s="184"/>
      <c r="G102" s="184"/>
      <c r="H102" s="184"/>
      <c r="I102" s="184"/>
      <c r="J102" s="184"/>
      <c r="K102" s="184"/>
      <c r="L102" s="184"/>
      <c r="M102" s="136"/>
    </row>
    <row r="103" spans="1:13" ht="15.95" customHeight="1" x14ac:dyDescent="0.25">
      <c r="A103" s="184"/>
      <c r="B103" s="184"/>
      <c r="C103" s="184"/>
      <c r="D103" s="184"/>
      <c r="E103" s="184"/>
      <c r="F103" s="184"/>
      <c r="G103" s="184"/>
      <c r="H103" s="184"/>
      <c r="I103" s="184"/>
      <c r="J103" s="184"/>
      <c r="K103" s="184"/>
      <c r="L103" s="184"/>
      <c r="M103" s="136"/>
    </row>
    <row r="104" spans="1:13" ht="15.95" customHeight="1" x14ac:dyDescent="0.25">
      <c r="A104" s="184"/>
      <c r="B104" s="184"/>
      <c r="C104" s="184"/>
      <c r="D104" s="184"/>
      <c r="E104" s="184"/>
      <c r="F104" s="184"/>
      <c r="G104" s="184"/>
      <c r="H104" s="184"/>
      <c r="I104" s="184"/>
      <c r="J104" s="184"/>
      <c r="K104" s="184"/>
      <c r="L104" s="184"/>
      <c r="M104" s="136"/>
    </row>
    <row r="105" spans="1:13" ht="15.95" customHeight="1" x14ac:dyDescent="0.25">
      <c r="A105" s="184"/>
      <c r="B105" s="184"/>
      <c r="C105" s="184"/>
      <c r="D105" s="184"/>
      <c r="E105" s="184"/>
      <c r="F105" s="184"/>
      <c r="G105" s="184"/>
      <c r="H105" s="184"/>
      <c r="I105" s="184"/>
      <c r="J105" s="184"/>
      <c r="K105" s="184"/>
      <c r="L105" s="184"/>
      <c r="M105" s="136"/>
    </row>
    <row r="106" spans="1:13" ht="15.95" customHeight="1" x14ac:dyDescent="0.25">
      <c r="A106" s="184"/>
      <c r="B106" s="184"/>
      <c r="C106" s="184"/>
      <c r="D106" s="184"/>
      <c r="E106" s="184"/>
      <c r="F106" s="184"/>
      <c r="G106" s="184"/>
      <c r="H106" s="184"/>
      <c r="I106" s="184"/>
      <c r="J106" s="184"/>
      <c r="K106" s="184"/>
      <c r="L106" s="184"/>
      <c r="M106" s="136"/>
    </row>
    <row r="107" spans="1:13" ht="15.95" customHeight="1" x14ac:dyDescent="0.25">
      <c r="A107" s="184"/>
      <c r="B107" s="184"/>
      <c r="C107" s="184"/>
      <c r="D107" s="184"/>
      <c r="E107" s="184"/>
      <c r="F107" s="184"/>
      <c r="G107" s="184"/>
      <c r="H107" s="184"/>
      <c r="I107" s="184"/>
      <c r="J107" s="184"/>
      <c r="K107" s="184"/>
      <c r="L107" s="184"/>
      <c r="M107" s="136"/>
    </row>
    <row r="108" spans="1:13" ht="15.95" customHeight="1" x14ac:dyDescent="0.25">
      <c r="A108" s="184"/>
      <c r="B108" s="184"/>
      <c r="C108" s="184"/>
      <c r="D108" s="184"/>
      <c r="E108" s="184"/>
      <c r="F108" s="184"/>
      <c r="G108" s="184"/>
      <c r="H108" s="184"/>
      <c r="I108" s="184"/>
      <c r="J108" s="184"/>
      <c r="K108" s="184"/>
      <c r="L108" s="184"/>
      <c r="M108" s="136"/>
    </row>
    <row r="109" spans="1:13" ht="15.95" customHeight="1" x14ac:dyDescent="0.25">
      <c r="A109" s="184"/>
      <c r="B109" s="184"/>
      <c r="C109" s="184"/>
      <c r="D109" s="184"/>
      <c r="E109" s="184"/>
      <c r="F109" s="184"/>
      <c r="G109" s="184"/>
      <c r="H109" s="184"/>
      <c r="I109" s="184"/>
      <c r="J109" s="184"/>
      <c r="K109" s="184"/>
      <c r="L109" s="184"/>
      <c r="M109" s="136"/>
    </row>
    <row r="110" spans="1:13" ht="15.95" customHeight="1" x14ac:dyDescent="0.25">
      <c r="A110" s="184"/>
      <c r="B110" s="184"/>
      <c r="C110" s="184"/>
      <c r="D110" s="184"/>
      <c r="E110" s="184"/>
      <c r="F110" s="184"/>
      <c r="G110" s="184"/>
      <c r="H110" s="184"/>
      <c r="I110" s="184"/>
      <c r="J110" s="184"/>
      <c r="K110" s="184"/>
      <c r="L110" s="184"/>
      <c r="M110" s="136"/>
    </row>
    <row r="111" spans="1:13" ht="15.95" customHeight="1" x14ac:dyDescent="0.25">
      <c r="A111" s="184"/>
      <c r="B111" s="184"/>
      <c r="C111" s="184"/>
      <c r="D111" s="184"/>
      <c r="E111" s="184"/>
      <c r="F111" s="184"/>
      <c r="G111" s="184"/>
      <c r="H111" s="184"/>
      <c r="I111" s="184"/>
      <c r="J111" s="184"/>
      <c r="K111" s="184"/>
      <c r="L111" s="184"/>
      <c r="M111" s="136"/>
    </row>
    <row r="112" spans="1:13" ht="15.95" customHeight="1" x14ac:dyDescent="0.25">
      <c r="A112" s="184"/>
      <c r="B112" s="184"/>
      <c r="C112" s="184"/>
      <c r="D112" s="184"/>
      <c r="E112" s="184"/>
      <c r="F112" s="184"/>
      <c r="G112" s="184"/>
      <c r="H112" s="184"/>
      <c r="I112" s="184"/>
      <c r="J112" s="184"/>
      <c r="K112" s="184"/>
      <c r="L112" s="184"/>
      <c r="M112" s="136"/>
    </row>
    <row r="113" spans="1:13" ht="15.95" customHeight="1" x14ac:dyDescent="0.25">
      <c r="A113" s="184"/>
      <c r="B113" s="184"/>
      <c r="C113" s="184"/>
      <c r="D113" s="184"/>
      <c r="E113" s="184"/>
      <c r="F113" s="184"/>
      <c r="G113" s="184"/>
      <c r="H113" s="184"/>
      <c r="I113" s="184"/>
      <c r="J113" s="184"/>
      <c r="K113" s="184"/>
      <c r="L113" s="184"/>
      <c r="M113" s="136"/>
    </row>
    <row r="114" spans="1:13" ht="15.95" customHeight="1" x14ac:dyDescent="0.25">
      <c r="A114" s="184"/>
      <c r="B114" s="184"/>
      <c r="C114" s="184"/>
      <c r="D114" s="184"/>
      <c r="E114" s="184"/>
      <c r="F114" s="184"/>
      <c r="G114" s="184"/>
      <c r="H114" s="184"/>
      <c r="I114" s="184"/>
      <c r="J114" s="184"/>
      <c r="K114" s="184"/>
      <c r="L114" s="184"/>
      <c r="M114" s="136"/>
    </row>
    <row r="115" spans="1:13" ht="15.95" customHeight="1" x14ac:dyDescent="0.25">
      <c r="A115" s="184"/>
      <c r="B115" s="184"/>
      <c r="C115" s="184"/>
      <c r="D115" s="184"/>
      <c r="E115" s="184"/>
      <c r="F115" s="184"/>
      <c r="G115" s="184"/>
      <c r="H115" s="184"/>
      <c r="I115" s="184"/>
      <c r="J115" s="184"/>
      <c r="K115" s="184"/>
      <c r="L115" s="184"/>
      <c r="M115" s="136"/>
    </row>
    <row r="116" spans="1:13" ht="15.95" customHeight="1" x14ac:dyDescent="0.25">
      <c r="A116" s="184"/>
      <c r="B116" s="184"/>
      <c r="C116" s="184"/>
      <c r="D116" s="184"/>
      <c r="E116" s="184"/>
      <c r="F116" s="184"/>
      <c r="G116" s="184"/>
      <c r="H116" s="184"/>
      <c r="I116" s="184"/>
      <c r="J116" s="184"/>
      <c r="K116" s="184"/>
      <c r="L116" s="184"/>
      <c r="M116" s="136"/>
    </row>
    <row r="117" spans="1:13" ht="15.95" customHeight="1" x14ac:dyDescent="0.25">
      <c r="A117" s="184"/>
      <c r="B117" s="184"/>
      <c r="C117" s="184"/>
      <c r="D117" s="184"/>
      <c r="E117" s="184"/>
      <c r="F117" s="184"/>
      <c r="G117" s="184"/>
      <c r="H117" s="184"/>
      <c r="I117" s="184"/>
      <c r="J117" s="184"/>
      <c r="K117" s="184"/>
      <c r="L117" s="184"/>
      <c r="M117" s="136"/>
    </row>
    <row r="118" spans="1:13" ht="15.95" customHeight="1" x14ac:dyDescent="0.25">
      <c r="A118" s="184"/>
      <c r="B118" s="184"/>
      <c r="C118" s="184"/>
      <c r="D118" s="184"/>
      <c r="E118" s="184"/>
      <c r="F118" s="184"/>
      <c r="G118" s="184"/>
      <c r="H118" s="184"/>
      <c r="I118" s="184"/>
      <c r="J118" s="184"/>
      <c r="K118" s="184"/>
      <c r="L118" s="184"/>
      <c r="M118" s="136"/>
    </row>
    <row r="119" spans="1:13" ht="15.95" customHeight="1" x14ac:dyDescent="0.25">
      <c r="A119" s="184"/>
      <c r="B119" s="184"/>
      <c r="C119" s="184"/>
      <c r="D119" s="184"/>
      <c r="E119" s="184"/>
      <c r="F119" s="184"/>
      <c r="G119" s="184"/>
      <c r="H119" s="184"/>
      <c r="I119" s="184"/>
      <c r="J119" s="184"/>
      <c r="K119" s="184"/>
      <c r="L119" s="184"/>
      <c r="M119" s="136"/>
    </row>
    <row r="120" spans="1:13" ht="15.95" customHeight="1" x14ac:dyDescent="0.25">
      <c r="A120" s="184"/>
      <c r="B120" s="184"/>
      <c r="C120" s="184"/>
      <c r="D120" s="184"/>
      <c r="E120" s="184"/>
      <c r="F120" s="184"/>
      <c r="G120" s="184"/>
      <c r="H120" s="184"/>
      <c r="I120" s="184"/>
      <c r="J120" s="184"/>
      <c r="K120" s="184"/>
      <c r="L120" s="184"/>
      <c r="M120" s="136"/>
    </row>
    <row r="121" spans="1:13" ht="15.95" customHeight="1" x14ac:dyDescent="0.25">
      <c r="A121" s="184"/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36"/>
    </row>
    <row r="122" spans="1:13" ht="15.95" customHeight="1" x14ac:dyDescent="0.25">
      <c r="A122" s="184"/>
      <c r="B122" s="184"/>
      <c r="C122" s="184"/>
      <c r="D122" s="184"/>
      <c r="E122" s="184"/>
      <c r="F122" s="184"/>
      <c r="G122" s="184"/>
      <c r="H122" s="184"/>
      <c r="I122" s="184"/>
      <c r="J122" s="184"/>
      <c r="K122" s="184"/>
      <c r="L122" s="184"/>
      <c r="M122" s="136"/>
    </row>
    <row r="123" spans="1:13" ht="15.95" customHeight="1" x14ac:dyDescent="0.25">
      <c r="A123" s="184"/>
      <c r="B123" s="184"/>
      <c r="C123" s="184"/>
      <c r="D123" s="184"/>
      <c r="E123" s="184"/>
      <c r="F123" s="184"/>
      <c r="G123" s="184"/>
      <c r="H123" s="184"/>
      <c r="I123" s="184"/>
      <c r="J123" s="184"/>
      <c r="K123" s="184"/>
      <c r="L123" s="184"/>
      <c r="M123" s="136"/>
    </row>
    <row r="124" spans="1:13" ht="15.95" customHeight="1" x14ac:dyDescent="0.25">
      <c r="A124" s="184"/>
      <c r="B124" s="184"/>
      <c r="C124" s="184"/>
      <c r="D124" s="184"/>
      <c r="E124" s="184"/>
      <c r="F124" s="184"/>
      <c r="G124" s="184"/>
      <c r="H124" s="184"/>
      <c r="I124" s="184"/>
      <c r="J124" s="184"/>
      <c r="K124" s="184"/>
      <c r="L124" s="184"/>
      <c r="M124" s="136"/>
    </row>
    <row r="125" spans="1:13" ht="15.95" customHeight="1" x14ac:dyDescent="0.25">
      <c r="A125" s="184"/>
      <c r="B125" s="184"/>
      <c r="C125" s="184"/>
      <c r="D125" s="184"/>
      <c r="E125" s="184"/>
      <c r="F125" s="184"/>
      <c r="G125" s="184"/>
      <c r="H125" s="184"/>
      <c r="I125" s="184"/>
      <c r="J125" s="184"/>
      <c r="K125" s="184"/>
      <c r="L125" s="184"/>
      <c r="M125" s="136"/>
    </row>
    <row r="126" spans="1:13" ht="15.95" customHeight="1" x14ac:dyDescent="0.25">
      <c r="A126" s="184"/>
      <c r="B126" s="184"/>
      <c r="C126" s="184"/>
      <c r="D126" s="184"/>
      <c r="E126" s="184"/>
      <c r="F126" s="184"/>
      <c r="G126" s="184"/>
      <c r="H126" s="184"/>
      <c r="I126" s="184"/>
      <c r="J126" s="184"/>
      <c r="K126" s="184"/>
      <c r="L126" s="184"/>
      <c r="M126" s="136"/>
    </row>
    <row r="127" spans="1:13" ht="15.95" customHeight="1" x14ac:dyDescent="0.25">
      <c r="A127" s="184"/>
      <c r="B127" s="184"/>
      <c r="C127" s="184"/>
      <c r="D127" s="184"/>
      <c r="E127" s="184"/>
      <c r="F127" s="184"/>
      <c r="G127" s="184"/>
      <c r="H127" s="184"/>
      <c r="I127" s="184"/>
      <c r="J127" s="184"/>
      <c r="K127" s="184"/>
      <c r="L127" s="184"/>
      <c r="M127" s="136"/>
    </row>
    <row r="128" spans="1:13" ht="15.95" customHeight="1" x14ac:dyDescent="0.25">
      <c r="A128" s="184"/>
      <c r="B128" s="184"/>
      <c r="C128" s="184"/>
      <c r="D128" s="184"/>
      <c r="E128" s="184"/>
      <c r="F128" s="184"/>
      <c r="G128" s="184"/>
      <c r="H128" s="184"/>
      <c r="I128" s="184"/>
      <c r="J128" s="184"/>
      <c r="K128" s="184"/>
      <c r="L128" s="184"/>
    </row>
    <row r="129" spans="1:12" ht="15.95" customHeight="1" x14ac:dyDescent="0.25">
      <c r="A129" s="184"/>
      <c r="B129" s="184"/>
      <c r="C129" s="184"/>
      <c r="D129" s="184"/>
      <c r="E129" s="184"/>
      <c r="F129" s="184"/>
      <c r="G129" s="184"/>
      <c r="H129" s="184"/>
      <c r="I129" s="184"/>
      <c r="J129" s="184"/>
      <c r="K129" s="184"/>
      <c r="L129" s="184"/>
    </row>
    <row r="130" spans="1:12" ht="15.95" customHeight="1" x14ac:dyDescent="0.25">
      <c r="A130" s="163"/>
      <c r="B130" s="163"/>
      <c r="C130" s="163"/>
      <c r="D130" s="163"/>
      <c r="E130" s="163"/>
      <c r="F130" s="163"/>
      <c r="G130" s="163"/>
      <c r="H130" s="163"/>
      <c r="I130" s="163"/>
      <c r="J130" s="163"/>
      <c r="K130" s="163"/>
      <c r="L130" s="163"/>
    </row>
    <row r="131" spans="1:12" ht="15.95" customHeight="1" x14ac:dyDescent="0.25">
      <c r="A131" s="163"/>
      <c r="B131" s="163"/>
      <c r="C131" s="163"/>
      <c r="D131" s="163"/>
      <c r="E131" s="163"/>
      <c r="F131" s="163"/>
      <c r="G131" s="163"/>
      <c r="H131" s="163"/>
      <c r="I131" s="163"/>
      <c r="J131" s="163"/>
      <c r="K131" s="163"/>
      <c r="L131" s="163"/>
    </row>
    <row r="132" spans="1:12" ht="15.95" customHeight="1" x14ac:dyDescent="0.25">
      <c r="A132" s="163"/>
      <c r="B132" s="163"/>
      <c r="C132" s="163"/>
      <c r="D132" s="163"/>
      <c r="E132" s="163"/>
      <c r="F132" s="163"/>
      <c r="G132" s="163"/>
      <c r="H132" s="163"/>
      <c r="I132" s="163"/>
      <c r="J132" s="163"/>
      <c r="K132" s="163"/>
      <c r="L132" s="163"/>
    </row>
    <row r="133" spans="1:12" ht="15.95" customHeight="1" x14ac:dyDescent="0.25">
      <c r="A133" s="163"/>
      <c r="B133" s="163"/>
      <c r="C133" s="163"/>
      <c r="D133" s="163"/>
      <c r="E133" s="163"/>
      <c r="F133" s="163"/>
      <c r="G133" s="163"/>
      <c r="H133" s="163"/>
      <c r="I133" s="163"/>
      <c r="J133" s="163"/>
      <c r="K133" s="163"/>
      <c r="L133" s="163"/>
    </row>
    <row r="134" spans="1:12" ht="15.95" customHeight="1" x14ac:dyDescent="0.25">
      <c r="A134" s="163"/>
      <c r="B134" s="163"/>
      <c r="C134" s="163"/>
      <c r="D134" s="163"/>
      <c r="E134" s="163"/>
      <c r="F134" s="163"/>
      <c r="G134" s="163"/>
      <c r="H134" s="163"/>
      <c r="I134" s="163"/>
      <c r="J134" s="163"/>
      <c r="K134" s="163"/>
      <c r="L134" s="163"/>
    </row>
    <row r="135" spans="1:12" ht="15.95" customHeight="1" x14ac:dyDescent="0.25">
      <c r="A135" s="163"/>
      <c r="B135" s="163"/>
      <c r="C135" s="163"/>
      <c r="D135" s="163"/>
      <c r="E135" s="163"/>
      <c r="F135" s="163"/>
      <c r="G135" s="163"/>
      <c r="H135" s="163"/>
      <c r="I135" s="163"/>
      <c r="J135" s="163"/>
      <c r="K135" s="163"/>
      <c r="L135" s="163"/>
    </row>
    <row r="136" spans="1:12" ht="15.95" customHeight="1" x14ac:dyDescent="0.25">
      <c r="A136" s="163"/>
      <c r="B136" s="163"/>
      <c r="C136" s="163"/>
      <c r="D136" s="163"/>
      <c r="E136" s="163"/>
      <c r="F136" s="163"/>
      <c r="G136" s="163"/>
      <c r="H136" s="163"/>
      <c r="I136" s="163"/>
      <c r="J136" s="163"/>
      <c r="K136" s="163"/>
      <c r="L136" s="163"/>
    </row>
    <row r="137" spans="1:12" ht="15.95" customHeight="1" x14ac:dyDescent="0.25"/>
    <row r="138" spans="1:12" ht="15.95" customHeight="1" x14ac:dyDescent="0.25"/>
    <row r="139" spans="1:12" ht="17.100000000000001" customHeight="1" x14ac:dyDescent="0.25"/>
    <row r="140" spans="1:12" ht="17.100000000000001" customHeight="1" x14ac:dyDescent="0.25"/>
    <row r="141" spans="1:12" ht="17.100000000000001" customHeight="1" x14ac:dyDescent="0.25"/>
    <row r="142" spans="1:12" ht="17.100000000000001" customHeight="1" x14ac:dyDescent="0.25"/>
    <row r="143" spans="1:12" ht="17.100000000000001" customHeight="1" x14ac:dyDescent="0.25"/>
    <row r="144" spans="1:12" ht="17.100000000000001" customHeight="1" x14ac:dyDescent="0.25"/>
    <row r="145" ht="17.100000000000001" customHeight="1" x14ac:dyDescent="0.25"/>
    <row r="146" ht="17.100000000000001" customHeight="1" x14ac:dyDescent="0.25"/>
    <row r="147" ht="17.100000000000001" customHeight="1" x14ac:dyDescent="0.25"/>
    <row r="148" ht="17.100000000000001" customHeight="1" x14ac:dyDescent="0.25"/>
    <row r="149" ht="17.100000000000001" customHeight="1" x14ac:dyDescent="0.25"/>
    <row r="150" ht="17.100000000000001" customHeight="1" x14ac:dyDescent="0.25"/>
    <row r="151" ht="17.100000000000001" customHeight="1" x14ac:dyDescent="0.25"/>
    <row r="152" ht="17.100000000000001" customHeight="1" x14ac:dyDescent="0.25"/>
    <row r="153" ht="17.100000000000001" customHeight="1" x14ac:dyDescent="0.25"/>
    <row r="154" ht="17.100000000000001" customHeight="1" x14ac:dyDescent="0.25"/>
    <row r="155" ht="17.100000000000001" customHeight="1" x14ac:dyDescent="0.25"/>
    <row r="156" ht="17.100000000000001" customHeight="1" x14ac:dyDescent="0.25"/>
    <row r="157" ht="17.100000000000001" customHeight="1" x14ac:dyDescent="0.25"/>
    <row r="158" ht="17.100000000000001" customHeight="1" x14ac:dyDescent="0.25"/>
    <row r="159" ht="17.100000000000001" customHeight="1" x14ac:dyDescent="0.25"/>
    <row r="160" ht="17.100000000000001" customHeight="1" x14ac:dyDescent="0.25"/>
    <row r="161" ht="17.100000000000001" customHeight="1" x14ac:dyDescent="0.25"/>
    <row r="162" ht="17.100000000000001" customHeight="1" x14ac:dyDescent="0.25"/>
    <row r="163" ht="17.100000000000001" customHeight="1" x14ac:dyDescent="0.25"/>
    <row r="164" ht="17.100000000000001" customHeight="1" x14ac:dyDescent="0.25"/>
    <row r="165" ht="17.100000000000001" customHeight="1" x14ac:dyDescent="0.25"/>
    <row r="166" ht="17.100000000000001" customHeight="1" x14ac:dyDescent="0.25"/>
    <row r="167" ht="17.100000000000001" customHeight="1" x14ac:dyDescent="0.25"/>
    <row r="168" ht="17.100000000000001" customHeight="1" x14ac:dyDescent="0.25"/>
    <row r="169" ht="17.100000000000001" customHeight="1" x14ac:dyDescent="0.25"/>
    <row r="170" ht="17.100000000000001" customHeight="1" x14ac:dyDescent="0.25"/>
    <row r="171" ht="17.100000000000001" customHeight="1" x14ac:dyDescent="0.25"/>
    <row r="172" ht="17.100000000000001" customHeight="1" x14ac:dyDescent="0.25"/>
    <row r="173" ht="17.100000000000001" customHeight="1" x14ac:dyDescent="0.25"/>
    <row r="174" ht="17.100000000000001" customHeight="1" x14ac:dyDescent="0.25"/>
    <row r="175" ht="17.100000000000001" customHeight="1" x14ac:dyDescent="0.25"/>
    <row r="176" ht="17.100000000000001" customHeight="1" x14ac:dyDescent="0.25"/>
    <row r="177" ht="17.100000000000001" customHeight="1" x14ac:dyDescent="0.25"/>
    <row r="178" ht="17.100000000000001" customHeight="1" x14ac:dyDescent="0.25"/>
    <row r="179" ht="17.100000000000001" customHeight="1" x14ac:dyDescent="0.25"/>
    <row r="180" ht="17.100000000000001" customHeight="1" x14ac:dyDescent="0.25"/>
    <row r="181" ht="17.100000000000001" customHeight="1" x14ac:dyDescent="0.25"/>
    <row r="182" ht="17.100000000000001" customHeight="1" x14ac:dyDescent="0.25"/>
    <row r="183" ht="17.100000000000001" customHeight="1" x14ac:dyDescent="0.25"/>
    <row r="184" ht="17.100000000000001" customHeight="1" x14ac:dyDescent="0.25"/>
    <row r="185" ht="17.100000000000001" customHeight="1" x14ac:dyDescent="0.25"/>
    <row r="186" ht="17.100000000000001" customHeight="1" x14ac:dyDescent="0.25"/>
    <row r="187" ht="17.100000000000001" customHeight="1" x14ac:dyDescent="0.25"/>
    <row r="188" ht="17.100000000000001" customHeight="1" x14ac:dyDescent="0.25"/>
    <row r="189" ht="17.100000000000001" customHeight="1" x14ac:dyDescent="0.25"/>
    <row r="190" ht="17.100000000000001" customHeight="1" x14ac:dyDescent="0.25"/>
    <row r="191" ht="17.100000000000001" customHeight="1" x14ac:dyDescent="0.25"/>
    <row r="192" ht="17.100000000000001" customHeight="1" x14ac:dyDescent="0.25"/>
    <row r="193" ht="17.100000000000001" customHeight="1" x14ac:dyDescent="0.25"/>
    <row r="194" ht="17.100000000000001" customHeight="1" x14ac:dyDescent="0.25"/>
    <row r="195" ht="17.100000000000001" customHeight="1" x14ac:dyDescent="0.25"/>
    <row r="196" ht="17.100000000000001" customHeight="1" x14ac:dyDescent="0.25"/>
    <row r="197" ht="17.100000000000001" customHeight="1" x14ac:dyDescent="0.25"/>
    <row r="198" ht="17.100000000000001" customHeight="1" x14ac:dyDescent="0.25"/>
    <row r="199" ht="17.100000000000001" customHeight="1" x14ac:dyDescent="0.25"/>
    <row r="200" ht="17.100000000000001" customHeight="1" x14ac:dyDescent="0.25"/>
    <row r="201" ht="17.100000000000001" customHeight="1" x14ac:dyDescent="0.25"/>
    <row r="202" ht="17.100000000000001" customHeight="1" x14ac:dyDescent="0.25"/>
    <row r="203" ht="17.100000000000001" customHeight="1" x14ac:dyDescent="0.25"/>
    <row r="204" ht="17.100000000000001" customHeight="1" x14ac:dyDescent="0.25"/>
    <row r="205" ht="17.100000000000001" customHeight="1" x14ac:dyDescent="0.25"/>
    <row r="206" ht="17.100000000000001" customHeight="1" x14ac:dyDescent="0.25"/>
    <row r="207" ht="17.100000000000001" customHeight="1" x14ac:dyDescent="0.25"/>
    <row r="208" ht="17.100000000000001" customHeight="1" x14ac:dyDescent="0.25"/>
    <row r="209" ht="17.100000000000001" customHeight="1" x14ac:dyDescent="0.25"/>
    <row r="210" ht="17.100000000000001" customHeight="1" x14ac:dyDescent="0.25"/>
    <row r="211" ht="17.100000000000001" customHeight="1" x14ac:dyDescent="0.25"/>
    <row r="212" ht="17.100000000000001" customHeight="1" x14ac:dyDescent="0.25"/>
    <row r="213" ht="17.100000000000001" customHeight="1" x14ac:dyDescent="0.25"/>
    <row r="214" ht="17.100000000000001" customHeight="1" x14ac:dyDescent="0.25"/>
    <row r="215" ht="17.100000000000001" customHeight="1" x14ac:dyDescent="0.25"/>
    <row r="216" ht="17.100000000000001" customHeight="1" x14ac:dyDescent="0.25"/>
    <row r="217" ht="17.100000000000001" customHeight="1" x14ac:dyDescent="0.25"/>
    <row r="218" ht="17.100000000000001" customHeight="1" x14ac:dyDescent="0.25"/>
    <row r="219" ht="17.100000000000001" customHeight="1" x14ac:dyDescent="0.25"/>
    <row r="220" ht="17.100000000000001" customHeight="1" x14ac:dyDescent="0.25"/>
    <row r="221" ht="17.100000000000001" customHeight="1" x14ac:dyDescent="0.25"/>
    <row r="222" ht="17.100000000000001" customHeight="1" x14ac:dyDescent="0.25"/>
    <row r="223" ht="17.100000000000001" customHeight="1" x14ac:dyDescent="0.25"/>
    <row r="224" ht="17.100000000000001" customHeight="1" x14ac:dyDescent="0.25"/>
    <row r="225" ht="17.100000000000001" customHeight="1" x14ac:dyDescent="0.25"/>
    <row r="226" ht="17.100000000000001" customHeight="1" x14ac:dyDescent="0.25"/>
    <row r="227" ht="17.100000000000001" customHeight="1" x14ac:dyDescent="0.25"/>
    <row r="228" ht="17.100000000000001" customHeight="1" x14ac:dyDescent="0.25"/>
    <row r="229" ht="17.100000000000001" customHeight="1" x14ac:dyDescent="0.25"/>
    <row r="230" ht="17.100000000000001" customHeight="1" x14ac:dyDescent="0.25"/>
    <row r="231" ht="17.100000000000001" customHeight="1" x14ac:dyDescent="0.25"/>
    <row r="232" ht="17.100000000000001" customHeight="1" x14ac:dyDescent="0.25"/>
    <row r="233" ht="17.100000000000001" customHeight="1" x14ac:dyDescent="0.25"/>
    <row r="234" ht="17.100000000000001" customHeight="1" x14ac:dyDescent="0.25"/>
    <row r="235" ht="17.100000000000001" customHeight="1" x14ac:dyDescent="0.25"/>
    <row r="236" ht="17.100000000000001" customHeight="1" x14ac:dyDescent="0.25"/>
    <row r="237" ht="17.100000000000001" customHeight="1" x14ac:dyDescent="0.25"/>
    <row r="238" ht="17.100000000000001" customHeight="1" x14ac:dyDescent="0.25"/>
    <row r="239" ht="17.100000000000001" customHeight="1" x14ac:dyDescent="0.25"/>
    <row r="240" ht="17.100000000000001" customHeight="1" x14ac:dyDescent="0.25"/>
    <row r="241" ht="17.100000000000001" customHeight="1" x14ac:dyDescent="0.25"/>
    <row r="242" ht="17.100000000000001" customHeight="1" x14ac:dyDescent="0.25"/>
    <row r="243" ht="17.100000000000001" customHeight="1" x14ac:dyDescent="0.25"/>
    <row r="244" ht="17.100000000000001" customHeight="1" x14ac:dyDescent="0.25"/>
    <row r="245" ht="17.100000000000001" customHeight="1" x14ac:dyDescent="0.25"/>
    <row r="246" ht="17.100000000000001" customHeight="1" x14ac:dyDescent="0.25"/>
    <row r="247" ht="17.100000000000001" customHeight="1" x14ac:dyDescent="0.25"/>
    <row r="248" ht="17.100000000000001" customHeight="1" x14ac:dyDescent="0.25"/>
    <row r="249" ht="17.100000000000001" customHeight="1" x14ac:dyDescent="0.25"/>
    <row r="250" ht="17.100000000000001" customHeight="1" x14ac:dyDescent="0.25"/>
    <row r="251" ht="17.100000000000001" customHeight="1" x14ac:dyDescent="0.25"/>
    <row r="252" ht="17.100000000000001" customHeight="1" x14ac:dyDescent="0.25"/>
    <row r="253" ht="17.100000000000001" customHeight="1" x14ac:dyDescent="0.25"/>
    <row r="254" ht="17.100000000000001" customHeight="1" x14ac:dyDescent="0.25"/>
    <row r="255" ht="17.100000000000001" customHeight="1" x14ac:dyDescent="0.25"/>
    <row r="256" ht="17.100000000000001" customHeight="1" x14ac:dyDescent="0.25"/>
    <row r="257" ht="17.100000000000001" customHeight="1" x14ac:dyDescent="0.25"/>
    <row r="258" ht="17.100000000000001" customHeight="1" x14ac:dyDescent="0.25"/>
    <row r="259" ht="17.100000000000001" customHeight="1" x14ac:dyDescent="0.25"/>
    <row r="260" ht="17.100000000000001" customHeight="1" x14ac:dyDescent="0.25"/>
    <row r="261" ht="17.100000000000001" customHeight="1" x14ac:dyDescent="0.25"/>
    <row r="262" ht="17.100000000000001" customHeight="1" x14ac:dyDescent="0.25"/>
    <row r="263" ht="17.100000000000001" customHeight="1" x14ac:dyDescent="0.25"/>
    <row r="264" ht="17.100000000000001" customHeight="1" x14ac:dyDescent="0.25"/>
    <row r="265" ht="17.100000000000001" customHeight="1" x14ac:dyDescent="0.25"/>
    <row r="266" ht="17.100000000000001" customHeight="1" x14ac:dyDescent="0.25"/>
    <row r="267" ht="17.100000000000001" customHeight="1" x14ac:dyDescent="0.25"/>
    <row r="268" ht="17.100000000000001" customHeight="1" x14ac:dyDescent="0.25"/>
    <row r="269" ht="17.100000000000001" customHeight="1" x14ac:dyDescent="0.25"/>
    <row r="270" ht="17.100000000000001" customHeight="1" x14ac:dyDescent="0.25"/>
    <row r="271" ht="17.100000000000001" customHeight="1" x14ac:dyDescent="0.25"/>
    <row r="272" ht="17.100000000000001" customHeight="1" x14ac:dyDescent="0.25"/>
    <row r="273" ht="17.100000000000001" customHeight="1" x14ac:dyDescent="0.25"/>
    <row r="274" ht="17.100000000000001" customHeight="1" x14ac:dyDescent="0.25"/>
    <row r="275" ht="17.100000000000001" customHeight="1" x14ac:dyDescent="0.25"/>
    <row r="276" ht="17.100000000000001" customHeight="1" x14ac:dyDescent="0.25"/>
    <row r="277" ht="17.100000000000001" customHeight="1" x14ac:dyDescent="0.25"/>
    <row r="278" ht="17.100000000000001" customHeight="1" x14ac:dyDescent="0.25"/>
    <row r="279" ht="17.100000000000001" customHeight="1" x14ac:dyDescent="0.25"/>
    <row r="280" ht="17.100000000000001" customHeight="1" x14ac:dyDescent="0.25"/>
    <row r="281" ht="17.100000000000001" customHeight="1" x14ac:dyDescent="0.25"/>
    <row r="282" ht="17.100000000000001" customHeight="1" x14ac:dyDescent="0.25"/>
    <row r="283" ht="17.100000000000001" customHeight="1" x14ac:dyDescent="0.25"/>
    <row r="284" ht="17.100000000000001" customHeight="1" x14ac:dyDescent="0.25"/>
    <row r="285" ht="17.100000000000001" customHeight="1" x14ac:dyDescent="0.25"/>
    <row r="286" ht="17.100000000000001" customHeight="1" x14ac:dyDescent="0.25"/>
    <row r="287" ht="17.100000000000001" customHeight="1" x14ac:dyDescent="0.25"/>
    <row r="288" ht="17.100000000000001" customHeight="1" x14ac:dyDescent="0.25"/>
    <row r="289" ht="17.100000000000001" customHeight="1" x14ac:dyDescent="0.25"/>
    <row r="290" ht="17.100000000000001" customHeight="1" x14ac:dyDescent="0.25"/>
    <row r="291" ht="17.100000000000001" customHeight="1" x14ac:dyDescent="0.25"/>
    <row r="292" ht="17.100000000000001" customHeight="1" x14ac:dyDescent="0.25"/>
    <row r="293" ht="17.100000000000001" customHeight="1" x14ac:dyDescent="0.25"/>
    <row r="294" ht="17.100000000000001" customHeight="1" x14ac:dyDescent="0.25"/>
    <row r="295" ht="17.100000000000001" customHeight="1" x14ac:dyDescent="0.25"/>
    <row r="296" ht="17.100000000000001" customHeight="1" x14ac:dyDescent="0.25"/>
    <row r="297" ht="17.100000000000001" customHeight="1" x14ac:dyDescent="0.25"/>
    <row r="298" ht="17.100000000000001" customHeight="1" x14ac:dyDescent="0.25"/>
    <row r="299" ht="17.100000000000001" customHeight="1" x14ac:dyDescent="0.25"/>
    <row r="300" ht="17.100000000000001" customHeight="1" x14ac:dyDescent="0.25"/>
    <row r="301" ht="17.100000000000001" customHeight="1" x14ac:dyDescent="0.25"/>
    <row r="302" ht="17.100000000000001" customHeight="1" x14ac:dyDescent="0.25"/>
    <row r="303" ht="17.100000000000001" customHeight="1" x14ac:dyDescent="0.25"/>
    <row r="304" ht="17.100000000000001" customHeight="1" x14ac:dyDescent="0.25"/>
    <row r="305" ht="17.100000000000001" customHeight="1" x14ac:dyDescent="0.25"/>
    <row r="306" ht="17.100000000000001" customHeight="1" x14ac:dyDescent="0.25"/>
    <row r="307" ht="17.100000000000001" customHeight="1" x14ac:dyDescent="0.25"/>
    <row r="308" ht="17.100000000000001" customHeight="1" x14ac:dyDescent="0.25"/>
    <row r="309" ht="17.100000000000001" customHeight="1" x14ac:dyDescent="0.25"/>
    <row r="310" ht="17.100000000000001" customHeight="1" x14ac:dyDescent="0.25"/>
    <row r="311" ht="17.100000000000001" customHeight="1" x14ac:dyDescent="0.25"/>
    <row r="312" ht="17.100000000000001" customHeight="1" x14ac:dyDescent="0.25"/>
    <row r="313" ht="17.100000000000001" customHeight="1" x14ac:dyDescent="0.25"/>
    <row r="314" ht="17.100000000000001" customHeight="1" x14ac:dyDescent="0.25"/>
    <row r="315" ht="17.100000000000001" customHeight="1" x14ac:dyDescent="0.25"/>
    <row r="316" ht="17.100000000000001" customHeight="1" x14ac:dyDescent="0.25"/>
    <row r="317" ht="17.100000000000001" customHeight="1" x14ac:dyDescent="0.25"/>
    <row r="318" ht="17.100000000000001" customHeight="1" x14ac:dyDescent="0.25"/>
    <row r="319" ht="17.100000000000001" customHeight="1" x14ac:dyDescent="0.25"/>
    <row r="320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</sheetData>
  <mergeCells count="98">
    <mergeCell ref="D61:J61"/>
    <mergeCell ref="D62:J62"/>
    <mergeCell ref="D92:J92"/>
    <mergeCell ref="K40:K41"/>
    <mergeCell ref="D44:I44"/>
    <mergeCell ref="D43:I43"/>
    <mergeCell ref="D63:J63"/>
    <mergeCell ref="K45:K48"/>
    <mergeCell ref="C53:J55"/>
    <mergeCell ref="C74:C75"/>
    <mergeCell ref="D74:J75"/>
    <mergeCell ref="C76:I76"/>
    <mergeCell ref="D40:J41"/>
    <mergeCell ref="D45:G48"/>
    <mergeCell ref="H45:J48"/>
    <mergeCell ref="L40:L41"/>
    <mergeCell ref="A40:A41"/>
    <mergeCell ref="B40:B41"/>
    <mergeCell ref="C40:C41"/>
    <mergeCell ref="D42:I42"/>
    <mergeCell ref="A32:L32"/>
    <mergeCell ref="B33:B36"/>
    <mergeCell ref="B13:B16"/>
    <mergeCell ref="B18:B21"/>
    <mergeCell ref="B23:B26"/>
    <mergeCell ref="A27:L27"/>
    <mergeCell ref="B28:B31"/>
    <mergeCell ref="A22:L22"/>
    <mergeCell ref="B8:B11"/>
    <mergeCell ref="A12:L12"/>
    <mergeCell ref="A17:L17"/>
    <mergeCell ref="A7:L7"/>
    <mergeCell ref="A1:L1"/>
    <mergeCell ref="A2:L2"/>
    <mergeCell ref="G4:L4"/>
    <mergeCell ref="A3:L3"/>
    <mergeCell ref="D5:F5"/>
    <mergeCell ref="G5:I5"/>
    <mergeCell ref="A5:A6"/>
    <mergeCell ref="B5:B6"/>
    <mergeCell ref="C5:C6"/>
    <mergeCell ref="J5:J6"/>
    <mergeCell ref="K5:L5"/>
    <mergeCell ref="K37:K38"/>
    <mergeCell ref="L37:L38"/>
    <mergeCell ref="A37:A38"/>
    <mergeCell ref="B37:B38"/>
    <mergeCell ref="C37:C38"/>
    <mergeCell ref="D37:J38"/>
    <mergeCell ref="L45:L48"/>
    <mergeCell ref="A49:A52"/>
    <mergeCell ref="B49:B52"/>
    <mergeCell ref="C49:C52"/>
    <mergeCell ref="D49:G52"/>
    <mergeCell ref="H49:J52"/>
    <mergeCell ref="K49:K52"/>
    <mergeCell ref="L49:L52"/>
    <mergeCell ref="A45:A48"/>
    <mergeCell ref="B45:B48"/>
    <mergeCell ref="C45:C48"/>
    <mergeCell ref="A53:A55"/>
    <mergeCell ref="B53:B55"/>
    <mergeCell ref="K53:K55"/>
    <mergeCell ref="L53:L55"/>
    <mergeCell ref="A72:A73"/>
    <mergeCell ref="C72:C73"/>
    <mergeCell ref="C70:C71"/>
    <mergeCell ref="D64:J65"/>
    <mergeCell ref="D66:J67"/>
    <mergeCell ref="D68:J69"/>
    <mergeCell ref="D70:J71"/>
    <mergeCell ref="D72:J73"/>
    <mergeCell ref="C68:C69"/>
    <mergeCell ref="C64:C65"/>
    <mergeCell ref="C66:C67"/>
    <mergeCell ref="L66:L67"/>
    <mergeCell ref="A74:A75"/>
    <mergeCell ref="B64:B75"/>
    <mergeCell ref="A68:A69"/>
    <mergeCell ref="A70:A71"/>
    <mergeCell ref="A64:A65"/>
    <mergeCell ref="A66:A67"/>
    <mergeCell ref="L64:L65"/>
    <mergeCell ref="D56:J56"/>
    <mergeCell ref="D57:I57"/>
    <mergeCell ref="K74:K75"/>
    <mergeCell ref="L74:L75"/>
    <mergeCell ref="L72:L73"/>
    <mergeCell ref="L70:L71"/>
    <mergeCell ref="L68:L69"/>
    <mergeCell ref="K64:K65"/>
    <mergeCell ref="K66:K67"/>
    <mergeCell ref="K68:K69"/>
    <mergeCell ref="K70:K71"/>
    <mergeCell ref="K72:K73"/>
    <mergeCell ref="D58:J58"/>
    <mergeCell ref="D59:J59"/>
    <mergeCell ref="D60:J60"/>
  </mergeCells>
  <pageMargins left="0.23622047244094491" right="0.23622047244094491" top="0" bottom="0" header="0.23622047244094491" footer="0.23622047244094491"/>
  <pageSetup paperSize="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Y157"/>
  <sheetViews>
    <sheetView topLeftCell="G20" zoomScaleNormal="100" workbookViewId="0">
      <selection activeCell="N45" sqref="N45:Q45"/>
    </sheetView>
  </sheetViews>
  <sheetFormatPr defaultRowHeight="15" x14ac:dyDescent="0.25"/>
  <cols>
    <col min="1" max="1" width="13.5703125" customWidth="1"/>
    <col min="2" max="2" width="12.28515625" customWidth="1"/>
    <col min="3" max="3" width="13.5703125" customWidth="1"/>
    <col min="4" max="4" width="17.140625" customWidth="1"/>
    <col min="5" max="5" width="17.5703125" customWidth="1"/>
    <col min="6" max="6" width="16.5703125" customWidth="1"/>
    <col min="7" max="7" width="9.28515625" customWidth="1"/>
    <col min="8" max="8" width="11.7109375" customWidth="1"/>
    <col min="9" max="9" width="15.28515625" customWidth="1"/>
    <col min="10" max="10" width="17.28515625" customWidth="1"/>
    <col min="11" max="11" width="13.42578125" customWidth="1"/>
    <col min="12" max="12" width="15.85546875" customWidth="1"/>
    <col min="13" max="13" width="16.140625" customWidth="1"/>
    <col min="14" max="14" width="13.140625" customWidth="1"/>
    <col min="15" max="15" width="14.7109375" customWidth="1"/>
    <col min="16" max="16" width="15.85546875" customWidth="1"/>
    <col min="17" max="17" width="15.28515625" customWidth="1"/>
    <col min="18" max="18" width="14.7109375" customWidth="1"/>
    <col min="19" max="19" width="11.42578125" customWidth="1"/>
    <col min="20" max="20" width="15.85546875" customWidth="1"/>
    <col min="21" max="21" width="10.7109375" customWidth="1"/>
    <col min="22" max="22" width="10.85546875" customWidth="1"/>
    <col min="23" max="23" width="11.7109375" customWidth="1"/>
    <col min="24" max="24" width="10.85546875" customWidth="1"/>
    <col min="25" max="25" width="10.7109375" customWidth="1"/>
  </cols>
  <sheetData>
    <row r="1" spans="1:25" x14ac:dyDescent="0.25">
      <c r="A1" s="3" t="s">
        <v>0</v>
      </c>
      <c r="B1" s="108" t="s">
        <v>4</v>
      </c>
      <c r="C1" s="108" t="s">
        <v>10</v>
      </c>
      <c r="D1" s="3" t="s">
        <v>13</v>
      </c>
      <c r="E1" s="3" t="s">
        <v>27</v>
      </c>
      <c r="F1" s="54" t="s">
        <v>23</v>
      </c>
      <c r="G1" s="19" t="s">
        <v>24</v>
      </c>
      <c r="H1" s="19" t="s">
        <v>37</v>
      </c>
      <c r="I1" s="19" t="s">
        <v>46</v>
      </c>
      <c r="J1" s="22" t="str">
        <f>IF(J2,"-Ж","")</f>
        <v/>
      </c>
      <c r="K1" s="23" t="s">
        <v>50</v>
      </c>
      <c r="L1" s="23">
        <f>VLOOKUP(K1,mat_2,7,FALSE)</f>
        <v>15</v>
      </c>
      <c r="M1" s="23" t="str">
        <f>VLOOKUP(K1,mat_2,IF(P1="Цельносварная",3,4),FALSE)</f>
        <v>ГОСТ 5520-79</v>
      </c>
      <c r="N1" s="23">
        <f>VLOOKUP(K1,mat_2,2,FALSE)</f>
        <v>7850</v>
      </c>
      <c r="O1" s="23" t="b">
        <v>0</v>
      </c>
      <c r="P1" s="23" t="s">
        <v>56</v>
      </c>
      <c r="Q1" s="84" t="b">
        <v>1</v>
      </c>
      <c r="R1" s="84" t="b">
        <v>1</v>
      </c>
      <c r="S1" s="54" t="str">
        <f>IF(Q1,S4,1)</f>
        <v>3</v>
      </c>
      <c r="T1" s="54" t="str">
        <f>IF(R1,T4,1)</f>
        <v>3</v>
      </c>
      <c r="U1" s="84" t="b">
        <v>0</v>
      </c>
      <c r="V1" s="84" t="b">
        <v>0</v>
      </c>
      <c r="W1" s="84" t="b">
        <v>0</v>
      </c>
      <c r="X1" s="84" t="b">
        <v>0</v>
      </c>
      <c r="Y1" t="b">
        <v>0</v>
      </c>
    </row>
    <row r="2" spans="1:25" x14ac:dyDescent="0.25">
      <c r="A2" s="3" t="s">
        <v>0</v>
      </c>
      <c r="B2" s="108">
        <v>22</v>
      </c>
      <c r="C2" s="108" t="s">
        <v>7</v>
      </c>
      <c r="D2" s="3" t="s">
        <v>13</v>
      </c>
      <c r="E2" s="19" t="s">
        <v>6</v>
      </c>
      <c r="F2" s="82" t="s">
        <v>128</v>
      </c>
      <c r="G2" s="82" t="s">
        <v>130</v>
      </c>
      <c r="H2" s="19" t="s">
        <v>34</v>
      </c>
      <c r="I2" s="19" t="s">
        <v>49</v>
      </c>
      <c r="J2" s="19" t="b">
        <v>0</v>
      </c>
      <c r="K2" s="23" t="str">
        <f>VLOOKUP(D1,mat,2,FALSE)</f>
        <v>09Г2С</v>
      </c>
      <c r="L2" s="94" t="s">
        <v>116</v>
      </c>
      <c r="M2" s="94" t="s">
        <v>118</v>
      </c>
      <c r="N2" s="155" t="s">
        <v>107</v>
      </c>
      <c r="O2" s="155" t="s">
        <v>204</v>
      </c>
      <c r="P2" s="23" t="s">
        <v>56</v>
      </c>
      <c r="Q2" s="94" t="s">
        <v>132</v>
      </c>
      <c r="R2" s="94" t="s">
        <v>133</v>
      </c>
      <c r="S2" s="94" t="s">
        <v>132</v>
      </c>
      <c r="T2" s="94" t="s">
        <v>133</v>
      </c>
      <c r="U2" s="94" t="s">
        <v>135</v>
      </c>
      <c r="V2" s="94" t="s">
        <v>133</v>
      </c>
      <c r="W2" s="175" t="s">
        <v>82</v>
      </c>
      <c r="X2" s="175" t="s">
        <v>83</v>
      </c>
      <c r="Y2" s="175" t="s">
        <v>84</v>
      </c>
    </row>
    <row r="3" spans="1:25" x14ac:dyDescent="0.25">
      <c r="A3" s="3" t="s">
        <v>1</v>
      </c>
      <c r="B3" s="108">
        <v>20</v>
      </c>
      <c r="C3" s="55">
        <v>1</v>
      </c>
      <c r="D3" s="3" t="s">
        <v>14</v>
      </c>
      <c r="E3" s="19" t="s">
        <v>22</v>
      </c>
      <c r="F3" s="19"/>
      <c r="G3" s="19">
        <f>G1*1000</f>
        <v>4000</v>
      </c>
      <c r="H3" s="19" t="s">
        <v>36</v>
      </c>
      <c r="I3" s="19" t="s">
        <v>45</v>
      </c>
      <c r="J3" s="82" t="s">
        <v>131</v>
      </c>
      <c r="K3" s="24" t="s">
        <v>117</v>
      </c>
      <c r="M3" s="23" t="str">
        <f>VLOOKUP(K1,mat_2,3,FALSE)</f>
        <v>ГОСТ 5520-79</v>
      </c>
      <c r="N3" s="363" t="s">
        <v>105</v>
      </c>
      <c r="O3" s="368"/>
      <c r="P3" s="23" t="s">
        <v>55</v>
      </c>
      <c r="Q3" s="363" t="s">
        <v>134</v>
      </c>
      <c r="R3" s="363"/>
      <c r="S3" s="239"/>
      <c r="T3" s="239"/>
      <c r="U3" s="363" t="s">
        <v>136</v>
      </c>
      <c r="V3" s="363"/>
      <c r="W3" s="363" t="s">
        <v>124</v>
      </c>
      <c r="X3" s="264"/>
      <c r="Y3" s="264"/>
    </row>
    <row r="4" spans="1:25" x14ac:dyDescent="0.25">
      <c r="A4" s="3" t="s">
        <v>2</v>
      </c>
      <c r="B4" s="108">
        <v>14.6</v>
      </c>
      <c r="C4" s="108" t="s">
        <v>8</v>
      </c>
      <c r="D4" s="3" t="s">
        <v>16</v>
      </c>
      <c r="E4" s="19" t="s">
        <v>23</v>
      </c>
      <c r="F4" s="89" t="s">
        <v>188</v>
      </c>
      <c r="G4" s="19"/>
      <c r="H4" s="19" t="s">
        <v>35</v>
      </c>
      <c r="I4" s="19" t="s">
        <v>46</v>
      </c>
      <c r="J4" s="19" t="b">
        <v>0</v>
      </c>
      <c r="K4" s="23" t="b">
        <v>0</v>
      </c>
      <c r="L4" t="b">
        <v>0</v>
      </c>
      <c r="M4" t="b">
        <v>0</v>
      </c>
      <c r="N4">
        <v>1.1000000000000001</v>
      </c>
      <c r="P4" s="94" t="s">
        <v>119</v>
      </c>
      <c r="R4" s="90" t="s">
        <v>199</v>
      </c>
      <c r="S4" s="134" t="s">
        <v>23</v>
      </c>
      <c r="T4" s="134" t="s">
        <v>23</v>
      </c>
      <c r="U4" s="128" t="str">
        <f>Диалог!H15</f>
        <v>по фланцу</v>
      </c>
      <c r="V4" s="97" t="str">
        <f>IF(ISEVEN(F1),"100","по фланцу")</f>
        <v>по фланцу</v>
      </c>
      <c r="W4" s="55">
        <f>IF(W1,W5,W6)</f>
        <v>2.5</v>
      </c>
      <c r="X4" s="55">
        <f>IF(X1,X5,W6)</f>
        <v>2.5</v>
      </c>
      <c r="Y4" s="55">
        <f>IF(Y1,Y5,W6)</f>
        <v>2.5</v>
      </c>
    </row>
    <row r="5" spans="1:25" x14ac:dyDescent="0.25">
      <c r="A5" s="3" t="s">
        <v>3</v>
      </c>
      <c r="B5" s="108">
        <v>9</v>
      </c>
      <c r="C5" s="108" t="s">
        <v>10</v>
      </c>
      <c r="D5" s="3" t="s">
        <v>15</v>
      </c>
      <c r="E5" s="19" t="s">
        <v>24</v>
      </c>
      <c r="F5" s="19" t="s">
        <v>260</v>
      </c>
      <c r="G5" s="19"/>
      <c r="H5" s="19" t="s">
        <v>37</v>
      </c>
      <c r="I5" s="82" t="s">
        <v>122</v>
      </c>
      <c r="J5" s="112" t="s">
        <v>170</v>
      </c>
      <c r="K5" s="112" t="s">
        <v>171</v>
      </c>
      <c r="L5" s="112" t="s">
        <v>172</v>
      </c>
      <c r="M5" s="112" t="s">
        <v>173</v>
      </c>
      <c r="N5" s="159" t="s">
        <v>226</v>
      </c>
      <c r="P5" s="23"/>
      <c r="R5" s="90" t="s">
        <v>200</v>
      </c>
      <c r="S5">
        <f>IF(Q1,1,"")</f>
        <v>1</v>
      </c>
      <c r="T5">
        <f>IF(R1,1,"")</f>
        <v>1</v>
      </c>
      <c r="U5" s="128" t="str">
        <f>IF(U4="по фланцу",IF(VALUE(J8)&lt;100,100,J8),U4)</f>
        <v>200</v>
      </c>
      <c r="V5" s="97" t="str">
        <f>IF(V4="по фланцу",IF(VALUE(K8)&lt;100,100,K8),V4)</f>
        <v>150</v>
      </c>
      <c r="W5">
        <f>fl_dp_4</f>
        <v>2.5</v>
      </c>
      <c r="X5">
        <f>fl_dp_5</f>
        <v>2.5</v>
      </c>
      <c r="Y5">
        <f>fl_dp_6</f>
        <v>2.5</v>
      </c>
    </row>
    <row r="6" spans="1:25" x14ac:dyDescent="0.25">
      <c r="A6" s="82" t="s">
        <v>45</v>
      </c>
      <c r="B6" s="82" t="s">
        <v>126</v>
      </c>
      <c r="C6" s="55">
        <v>4</v>
      </c>
      <c r="D6" s="3" t="s">
        <v>17</v>
      </c>
      <c r="E6" s="19" t="s">
        <v>25</v>
      </c>
      <c r="F6" s="19" t="s">
        <v>240</v>
      </c>
      <c r="G6" s="19"/>
      <c r="H6" s="19" t="s">
        <v>38</v>
      </c>
      <c r="I6" s="19"/>
      <c r="J6" s="19" t="b">
        <v>1</v>
      </c>
      <c r="K6" s="23" t="b">
        <v>1</v>
      </c>
      <c r="L6" s="23" t="b">
        <v>0</v>
      </c>
      <c r="M6" s="23"/>
      <c r="N6" s="23"/>
      <c r="O6" s="23"/>
      <c r="V6" s="98" t="str">
        <f>IF(V1,Диалог!M15,V5)</f>
        <v>150</v>
      </c>
      <c r="W6">
        <f>IF(W7&lt;=2.5,2.5,(IF(AND(W7&gt;2.5,W7&lt;=4),4,(IF(AND(W7&gt;4,W7&lt;=6.3),6.3,(IF(AND(W7&gt;6.3,W7&lt;=10),10,(IF(AND(W7&gt;10,W7&lt;=16),16,(IF(AND(W7&gt;10,W7&lt;=16),16,(IF(AND(W7&gt;16,W7&lt;=20),20,25)))))))))))))</f>
        <v>2.5</v>
      </c>
    </row>
    <row r="7" spans="1:25" x14ac:dyDescent="0.25">
      <c r="A7" s="3" t="s">
        <v>277</v>
      </c>
      <c r="B7" s="3"/>
      <c r="C7" s="108" t="s">
        <v>9</v>
      </c>
      <c r="D7" s="3" t="s">
        <v>18</v>
      </c>
      <c r="E7" s="19" t="s">
        <v>26</v>
      </c>
      <c r="F7" s="82" t="s">
        <v>123</v>
      </c>
      <c r="G7" s="19"/>
      <c r="H7" s="19" t="s">
        <v>39</v>
      </c>
      <c r="I7" s="19"/>
      <c r="J7" s="82" t="s">
        <v>139</v>
      </c>
      <c r="K7" s="94" t="s">
        <v>84</v>
      </c>
      <c r="L7" s="94" t="s">
        <v>138</v>
      </c>
      <c r="M7" s="23" t="str">
        <f>IF(L6,M8,K1)</f>
        <v>09Г2С</v>
      </c>
      <c r="N7" s="23" t="str">
        <f>IF(L6,N8,K1)</f>
        <v>09Г2С</v>
      </c>
      <c r="O7" s="23" t="str">
        <f>IF(L6,O8,K1)</f>
        <v>09Г2С</v>
      </c>
      <c r="Q7" t="b">
        <v>1</v>
      </c>
      <c r="R7" t="b">
        <v>0</v>
      </c>
      <c r="S7" t="b">
        <v>0</v>
      </c>
      <c r="T7" t="b">
        <v>0</v>
      </c>
      <c r="U7" s="144">
        <v>100</v>
      </c>
      <c r="V7" s="144">
        <v>100</v>
      </c>
      <c r="W7" s="55">
        <f>VALUE(C1)</f>
        <v>2.5</v>
      </c>
    </row>
    <row r="8" spans="1:25" x14ac:dyDescent="0.25">
      <c r="A8" s="213" t="s">
        <v>278</v>
      </c>
      <c r="B8" s="3"/>
      <c r="C8" s="108" t="s">
        <v>11</v>
      </c>
      <c r="D8" s="3" t="s">
        <v>19</v>
      </c>
      <c r="E8" s="19" t="s">
        <v>28</v>
      </c>
      <c r="F8" s="89"/>
      <c r="G8" s="19"/>
      <c r="H8" s="82" t="s">
        <v>127</v>
      </c>
      <c r="I8" s="19"/>
      <c r="J8" s="138" t="s">
        <v>76</v>
      </c>
      <c r="K8" s="23" t="s">
        <v>75</v>
      </c>
      <c r="L8" s="23" t="s">
        <v>73</v>
      </c>
      <c r="M8" s="23" t="s">
        <v>53</v>
      </c>
      <c r="N8" s="23" t="s">
        <v>53</v>
      </c>
      <c r="O8" s="23" t="s">
        <v>81</v>
      </c>
      <c r="Q8" s="126" t="s">
        <v>183</v>
      </c>
      <c r="R8" s="90" t="s">
        <v>181</v>
      </c>
      <c r="S8" s="90" t="s">
        <v>181</v>
      </c>
      <c r="T8" s="90" t="s">
        <v>182</v>
      </c>
      <c r="W8" s="367" t="s">
        <v>123</v>
      </c>
      <c r="X8" s="367"/>
      <c r="Y8" s="367"/>
    </row>
    <row r="9" spans="1:25" x14ac:dyDescent="0.25">
      <c r="B9" s="3"/>
      <c r="C9" s="108" t="s">
        <v>12</v>
      </c>
      <c r="D9" s="3" t="s">
        <v>20</v>
      </c>
      <c r="E9" s="19" t="s">
        <v>27</v>
      </c>
      <c r="F9" s="19" t="s">
        <v>149</v>
      </c>
      <c r="G9" s="19"/>
      <c r="H9" s="19"/>
      <c r="J9" s="82" t="s">
        <v>256</v>
      </c>
      <c r="K9" s="94" t="s">
        <v>141</v>
      </c>
      <c r="L9" s="94" t="s">
        <v>142</v>
      </c>
      <c r="M9" s="94" t="s">
        <v>82</v>
      </c>
      <c r="N9" s="94" t="s">
        <v>83</v>
      </c>
      <c r="O9" s="94" t="s">
        <v>84</v>
      </c>
      <c r="Q9" s="363" t="s">
        <v>184</v>
      </c>
      <c r="R9" s="363"/>
      <c r="S9" s="363" t="s">
        <v>180</v>
      </c>
      <c r="T9" s="363"/>
      <c r="W9" s="89" t="b">
        <v>1</v>
      </c>
      <c r="X9" s="89" t="b">
        <v>0</v>
      </c>
      <c r="Y9" s="89" t="b">
        <v>0</v>
      </c>
    </row>
    <row r="10" spans="1:25" x14ac:dyDescent="0.25">
      <c r="B10" s="3"/>
      <c r="C10" s="108" t="s">
        <v>4</v>
      </c>
      <c r="D10" s="3" t="s">
        <v>21</v>
      </c>
      <c r="E10" s="19" t="s">
        <v>5</v>
      </c>
      <c r="F10" s="19" t="s">
        <v>148</v>
      </c>
      <c r="G10" s="19"/>
      <c r="H10" s="19"/>
      <c r="J10">
        <f>Диалог!F42</f>
        <v>4</v>
      </c>
      <c r="K10">
        <f>Диалог!F44</f>
        <v>4</v>
      </c>
      <c r="L10" s="23">
        <f>Диалог!F46</f>
        <v>4</v>
      </c>
      <c r="M10" s="363" t="s">
        <v>137</v>
      </c>
      <c r="N10" s="363"/>
      <c r="O10" s="363"/>
      <c r="W10" s="89" t="s">
        <v>188</v>
      </c>
      <c r="X10" s="89" t="str">
        <f>IF(X9,X11,W10)</f>
        <v>B</v>
      </c>
      <c r="Y10" s="89" t="str">
        <f>IF(Y9,Y11,W10)</f>
        <v>B</v>
      </c>
    </row>
    <row r="11" spans="1:25" x14ac:dyDescent="0.25">
      <c r="A11" s="19" t="b">
        <v>0</v>
      </c>
      <c r="B11" s="19"/>
      <c r="C11" s="82" t="s">
        <v>124</v>
      </c>
      <c r="D11" s="82" t="s">
        <v>125</v>
      </c>
      <c r="E11" s="19" t="s">
        <v>11</v>
      </c>
      <c r="F11" s="19" t="s">
        <v>150</v>
      </c>
      <c r="G11" s="19"/>
      <c r="H11" s="138">
        <v>2700</v>
      </c>
      <c r="J11" s="89">
        <f>W4*10</f>
        <v>25</v>
      </c>
      <c r="K11" s="89">
        <f>X4*10</f>
        <v>25</v>
      </c>
      <c r="L11" s="89">
        <f>Y4*10</f>
        <v>25</v>
      </c>
      <c r="M11" s="23" t="s">
        <v>80</v>
      </c>
      <c r="N11" s="23"/>
      <c r="O11" s="23"/>
      <c r="P11" s="23"/>
      <c r="X11" s="89" t="s">
        <v>260</v>
      </c>
      <c r="Y11" s="89" t="s">
        <v>188</v>
      </c>
    </row>
    <row r="12" spans="1:25" x14ac:dyDescent="0.25">
      <c r="A12" s="88" t="str">
        <f>IF(A11,A13,A14)</f>
        <v>БМ</v>
      </c>
      <c r="B12" s="19"/>
      <c r="D12" s="82" t="s">
        <v>177</v>
      </c>
      <c r="E12" s="19" t="s">
        <v>29</v>
      </c>
      <c r="F12" s="82" t="s">
        <v>151</v>
      </c>
      <c r="G12" s="19"/>
      <c r="H12" s="139" t="s">
        <v>197</v>
      </c>
      <c r="J12" s="89" t="str">
        <f>W10</f>
        <v>B</v>
      </c>
      <c r="K12" s="89" t="str">
        <f>X10</f>
        <v>B</v>
      </c>
      <c r="L12" s="89" t="str">
        <f>Y10</f>
        <v>B</v>
      </c>
      <c r="M12" s="23" t="s">
        <v>50</v>
      </c>
      <c r="N12" s="23"/>
      <c r="O12" s="23"/>
      <c r="P12" s="23"/>
      <c r="W12" s="363" t="s">
        <v>259</v>
      </c>
      <c r="X12" s="363"/>
      <c r="Y12" s="363"/>
    </row>
    <row r="13" spans="1:25" x14ac:dyDescent="0.25">
      <c r="A13" s="89" t="str">
        <f>IF(A14="БМ","2АВГ","БМ")</f>
        <v>2АВГ</v>
      </c>
      <c r="B13" s="19"/>
      <c r="C13" s="19"/>
      <c r="D13" t="s">
        <v>178</v>
      </c>
      <c r="E13" s="19" t="s">
        <v>30</v>
      </c>
      <c r="F13" s="19"/>
      <c r="G13" s="19"/>
      <c r="H13" s="19"/>
      <c r="I13" s="161" t="s">
        <v>158</v>
      </c>
      <c r="J13" s="89">
        <f>VLOOKUP(J8,patrubok,2,"ЛОЖЬ")</f>
        <v>219</v>
      </c>
      <c r="K13" s="89" t="str">
        <f>VLOOKUP(K8,patrubok,2,"ЛОЖЬ")</f>
        <v>168</v>
      </c>
      <c r="L13" s="89" t="str">
        <f>VLOOKUP(L8,patrubok,2,"ЛОЖЬ")</f>
        <v>121</v>
      </c>
      <c r="M13" s="23" t="s">
        <v>53</v>
      </c>
      <c r="N13" s="23"/>
      <c r="O13" s="235" t="str">
        <f>"Предварительный обсчет материала по служ. зап. № "&amp;Диалог!D4&amp;"/"&amp;Диалог!E4&amp;"/"&amp;Диалог!F4&amp;" (Рев. "&amp;Диалог!O4&amp;") от "&amp;TEXT(Диалог!K4,"дд.ММ.гг")&amp;" г."</f>
        <v>Предварительный обсчет материала по служ. зап. № 18/157/90 (Рев. 0) от 06.09.18 г.</v>
      </c>
      <c r="P13" s="235"/>
      <c r="Q13" s="235"/>
      <c r="R13" s="235"/>
      <c r="S13" s="235"/>
      <c r="T13" s="235"/>
      <c r="U13" s="235"/>
      <c r="W13" s="89" t="str">
        <f>IF(W10="F","E",W10)</f>
        <v>B</v>
      </c>
      <c r="X13" s="89" t="str">
        <f>IF(X10="F","E",X10)</f>
        <v>B</v>
      </c>
      <c r="Y13" s="89" t="str">
        <f>IF(Y10="F","E",Y10)</f>
        <v>B</v>
      </c>
    </row>
    <row r="14" spans="1:25" x14ac:dyDescent="0.25">
      <c r="A14" s="88" t="str">
        <f>IF(A1="2АВГ","2АВГ","БМ")</f>
        <v>БМ</v>
      </c>
      <c r="B14" s="19"/>
      <c r="C14" s="19"/>
      <c r="D14" s="127" t="s">
        <v>178</v>
      </c>
      <c r="E14" s="19" t="s">
        <v>31</v>
      </c>
      <c r="F14" s="19" t="s">
        <v>152</v>
      </c>
      <c r="G14" s="88" t="str">
        <f>VLOOKUP(F14,metiz_mat,2,FALSE)</f>
        <v>4543-71</v>
      </c>
      <c r="H14" s="93"/>
      <c r="I14" s="82" t="s">
        <v>159</v>
      </c>
      <c r="J14" s="89">
        <f>VLOOKUP(J8,patrubok,3,"ЛОЖЬ")</f>
        <v>14</v>
      </c>
      <c r="K14" s="89">
        <f>VLOOKUP(K8,patrubok,3,"ЛОЖЬ")</f>
        <v>11</v>
      </c>
      <c r="L14" s="89">
        <f>VLOOKUP(L8,patrubok,3,"ЛОЖЬ")</f>
        <v>14</v>
      </c>
      <c r="M14" s="23" t="s">
        <v>81</v>
      </c>
      <c r="N14" s="23"/>
      <c r="O14" s="235" t="str">
        <f>control!A1&amp;"-"&amp;control!B1&amp;control!J1&amp;"-"&amp;control!C1&amp;"-"&amp;control!D1&amp;"/"&amp;control!E1&amp;"-"&amp;control!F1&amp;"-"&amp;control!G1&amp;" "&amp;control!H1</f>
        <v>АВГ-БМ-20-2.5-Б1/8-3-4 УХЛ1</v>
      </c>
      <c r="P14" s="235"/>
      <c r="Q14" s="131"/>
      <c r="R14" s="131"/>
    </row>
    <row r="15" spans="1:25" x14ac:dyDescent="0.25">
      <c r="A15" s="89" t="str">
        <f>IF(A12="БМ","Блок секции","Секция")</f>
        <v>Блок секции</v>
      </c>
      <c r="B15" s="19"/>
      <c r="C15" s="19"/>
      <c r="D15" s="127" t="s">
        <v>179</v>
      </c>
      <c r="E15" s="19" t="s">
        <v>32</v>
      </c>
      <c r="F15" s="3" t="s">
        <v>152</v>
      </c>
      <c r="G15" s="19" t="s">
        <v>266</v>
      </c>
      <c r="H15" s="165"/>
      <c r="I15" s="82" t="s">
        <v>239</v>
      </c>
      <c r="J15">
        <f>ROUNDUP((J13^2-(J13-2*J14)^2)*3.14/4*1.5*N1/1000000,)</f>
        <v>107</v>
      </c>
      <c r="K15">
        <f>ROUNDUP((K13^2-(K13-2*K14)^2)*3.14/4*1.5*N1/1000000,)</f>
        <v>64</v>
      </c>
      <c r="L15" s="23">
        <f>ROUNDUP((L13^2-(L13-2*L14)^2)*3.14/4*1.5*N1/1000000,)</f>
        <v>56</v>
      </c>
      <c r="M15" s="23" t="s">
        <v>99</v>
      </c>
      <c r="N15" s="23"/>
      <c r="O15" s="363" t="s">
        <v>193</v>
      </c>
      <c r="P15" s="363"/>
      <c r="Q15" s="363"/>
      <c r="R15" s="363"/>
      <c r="S15" s="363"/>
      <c r="T15" s="363"/>
      <c r="U15" s="363"/>
    </row>
    <row r="16" spans="1:25" x14ac:dyDescent="0.25">
      <c r="A16" s="137" t="s">
        <v>195</v>
      </c>
      <c r="B16" s="88"/>
      <c r="C16" s="88"/>
      <c r="D16" s="23"/>
      <c r="E16" s="19" t="s">
        <v>33</v>
      </c>
      <c r="F16" s="84" t="s">
        <v>109</v>
      </c>
      <c r="G16" s="19" t="s">
        <v>266</v>
      </c>
      <c r="H16" s="93"/>
      <c r="J16" s="363" t="s">
        <v>238</v>
      </c>
      <c r="K16" s="363"/>
      <c r="L16" s="23"/>
      <c r="M16" s="23" t="s">
        <v>51</v>
      </c>
      <c r="N16" s="23"/>
      <c r="P16" s="23"/>
    </row>
    <row r="17" spans="1:25" x14ac:dyDescent="0.25">
      <c r="B17" s="89"/>
      <c r="C17" s="89"/>
      <c r="D17" s="22"/>
      <c r="E17" s="19" t="s">
        <v>12</v>
      </c>
      <c r="F17" s="84" t="s">
        <v>99</v>
      </c>
      <c r="G17" s="19" t="s">
        <v>267</v>
      </c>
      <c r="H17" s="19"/>
      <c r="I17" s="82" t="s">
        <v>140</v>
      </c>
      <c r="J17" s="82" t="s">
        <v>158</v>
      </c>
      <c r="K17" s="161" t="s">
        <v>159</v>
      </c>
      <c r="M17" s="94" t="s">
        <v>120</v>
      </c>
      <c r="N17" s="23">
        <f>Диалог!D31</f>
        <v>426</v>
      </c>
      <c r="O17" s="23">
        <f>Диалог!G31</f>
        <v>16</v>
      </c>
      <c r="P17" s="23">
        <f>Диалог!I31</f>
        <v>3500</v>
      </c>
      <c r="Q17">
        <f>ROUNDUP((N17^2-(N17-2*O17)^2)*3.14/4*N1/1000000,2)</f>
        <v>161.69999999999999</v>
      </c>
      <c r="R17" s="89">
        <f>Секция!C37*(ROUNDUP(Диалог!I31/1000,1))</f>
        <v>7</v>
      </c>
      <c r="S17">
        <f>ROUNDUP(control!R17*control!Q17,)</f>
        <v>1132</v>
      </c>
    </row>
    <row r="18" spans="1:25" x14ac:dyDescent="0.25">
      <c r="A18" s="83"/>
      <c r="B18" s="83"/>
      <c r="C18" s="83"/>
      <c r="D18" s="1"/>
      <c r="E18" s="82" t="s">
        <v>129</v>
      </c>
      <c r="F18" s="84" t="s">
        <v>53</v>
      </c>
      <c r="G18" s="19" t="s">
        <v>267</v>
      </c>
      <c r="I18" s="19" t="s">
        <v>70</v>
      </c>
      <c r="J18" s="88" t="s">
        <v>232</v>
      </c>
      <c r="K18" s="23">
        <v>7</v>
      </c>
      <c r="N18" s="363" t="s">
        <v>205</v>
      </c>
      <c r="O18" s="239"/>
      <c r="P18" s="239"/>
      <c r="Q18" s="155" t="s">
        <v>218</v>
      </c>
      <c r="R18" s="155" t="s">
        <v>206</v>
      </c>
      <c r="S18" s="155" t="s">
        <v>207</v>
      </c>
    </row>
    <row r="19" spans="1:25" x14ac:dyDescent="0.25">
      <c r="E19" s="82" t="s">
        <v>121</v>
      </c>
      <c r="F19" s="84" t="s">
        <v>153</v>
      </c>
      <c r="G19" s="19" t="s">
        <v>267</v>
      </c>
      <c r="I19" s="19" t="s">
        <v>71</v>
      </c>
      <c r="J19" s="88" t="s">
        <v>233</v>
      </c>
      <c r="K19" s="23">
        <v>8</v>
      </c>
    </row>
    <row r="20" spans="1:25" x14ac:dyDescent="0.25">
      <c r="B20" s="91" t="s">
        <v>105</v>
      </c>
      <c r="C20" s="91" t="s">
        <v>106</v>
      </c>
      <c r="E20" s="93"/>
      <c r="F20" s="99" t="s">
        <v>154</v>
      </c>
      <c r="G20" s="19" t="s">
        <v>266</v>
      </c>
      <c r="I20" s="19" t="s">
        <v>72</v>
      </c>
      <c r="J20" s="88" t="s">
        <v>234</v>
      </c>
      <c r="K20" s="23">
        <v>12</v>
      </c>
    </row>
    <row r="21" spans="1:25" x14ac:dyDescent="0.25">
      <c r="A21" s="81" t="s">
        <v>13</v>
      </c>
      <c r="B21" s="81" t="s">
        <v>50</v>
      </c>
      <c r="C21" s="81" t="s">
        <v>80</v>
      </c>
      <c r="E21" s="81"/>
      <c r="F21" s="94" t="s">
        <v>155</v>
      </c>
      <c r="I21" s="19" t="s">
        <v>73</v>
      </c>
      <c r="J21" s="88" t="s">
        <v>235</v>
      </c>
      <c r="K21" s="23">
        <v>14</v>
      </c>
      <c r="M21" s="23" t="s">
        <v>95</v>
      </c>
      <c r="N21" s="363" t="s">
        <v>164</v>
      </c>
      <c r="O21" s="363"/>
      <c r="P21" s="363"/>
      <c r="Q21" s="363"/>
      <c r="R21" t="b">
        <v>0</v>
      </c>
    </row>
    <row r="22" spans="1:25" x14ac:dyDescent="0.25">
      <c r="A22" s="81" t="s">
        <v>14</v>
      </c>
      <c r="B22" s="81" t="s">
        <v>51</v>
      </c>
      <c r="C22" s="81" t="s">
        <v>51</v>
      </c>
      <c r="E22" s="81"/>
      <c r="I22" s="19" t="s">
        <v>74</v>
      </c>
      <c r="J22" s="88" t="s">
        <v>236</v>
      </c>
      <c r="K22" s="89">
        <v>14</v>
      </c>
      <c r="M22" s="23" t="s">
        <v>94</v>
      </c>
      <c r="N22" s="106" t="s">
        <v>158</v>
      </c>
      <c r="O22" s="106" t="s">
        <v>159</v>
      </c>
      <c r="P22" s="106" t="s">
        <v>130</v>
      </c>
      <c r="Q22" s="106" t="s">
        <v>218</v>
      </c>
      <c r="R22" s="106" t="s">
        <v>168</v>
      </c>
      <c r="S22" s="106" t="s">
        <v>107</v>
      </c>
      <c r="T22" s="170" t="s">
        <v>166</v>
      </c>
      <c r="U22" s="170" t="s">
        <v>244</v>
      </c>
      <c r="V22" s="170" t="s">
        <v>245</v>
      </c>
    </row>
    <row r="23" spans="1:25" x14ac:dyDescent="0.25">
      <c r="A23" s="81" t="s">
        <v>16</v>
      </c>
      <c r="B23" s="81" t="s">
        <v>50</v>
      </c>
      <c r="C23" s="81" t="s">
        <v>51</v>
      </c>
      <c r="E23" s="81"/>
      <c r="I23" s="19" t="s">
        <v>75</v>
      </c>
      <c r="J23" s="88" t="s">
        <v>237</v>
      </c>
      <c r="K23" s="89">
        <v>11</v>
      </c>
      <c r="M23" s="23" t="s">
        <v>95</v>
      </c>
      <c r="N23">
        <f>Диалог!D55</f>
        <v>25</v>
      </c>
      <c r="O23">
        <f>Диалог!F55</f>
        <v>2</v>
      </c>
      <c r="P23" s="19">
        <f>G3</f>
        <v>4000</v>
      </c>
      <c r="Q23" s="89">
        <f>ROUNDUP((N23^2-(N23-2*O23)^2)*3.14/4*S23/1000000,2)</f>
        <v>1.1399999999999999</v>
      </c>
      <c r="R23" s="89" t="str">
        <f>IF(R21,R25,R24)</f>
        <v>Ст20</v>
      </c>
      <c r="S23" s="89">
        <f>VLOOKUP(R23,mat_2,2,FALSE)</f>
        <v>7850</v>
      </c>
      <c r="T23" s="89" t="str">
        <f>VLOOKUP(R23,mat_2,4,FALSE)</f>
        <v>ГОСТ 550-75</v>
      </c>
      <c r="U23" s="89" t="str">
        <f>VLOOKUP(R23,mat_2,5,FALSE)</f>
        <v xml:space="preserve"> </v>
      </c>
      <c r="V23" s="89" t="str">
        <f>VLOOKUP(R23,mat_2,6,FALSE)</f>
        <v>-В</v>
      </c>
    </row>
    <row r="24" spans="1:25" x14ac:dyDescent="0.25">
      <c r="A24" s="81" t="s">
        <v>15</v>
      </c>
      <c r="B24" s="81" t="s">
        <v>53</v>
      </c>
      <c r="C24" s="81" t="s">
        <v>53</v>
      </c>
      <c r="E24" s="81"/>
      <c r="I24" s="19" t="s">
        <v>76</v>
      </c>
      <c r="J24" s="88">
        <v>219</v>
      </c>
      <c r="K24" s="89">
        <v>14</v>
      </c>
      <c r="M24" s="23" t="s">
        <v>96</v>
      </c>
      <c r="P24" s="1"/>
      <c r="R24" s="89" t="str">
        <f>VLOOKUP(D1,mat,3,FALSE)</f>
        <v>Ст20</v>
      </c>
    </row>
    <row r="25" spans="1:25" x14ac:dyDescent="0.25">
      <c r="A25" s="81" t="s">
        <v>17</v>
      </c>
      <c r="B25" s="81" t="s">
        <v>53</v>
      </c>
      <c r="C25" s="81" t="s">
        <v>81</v>
      </c>
      <c r="E25" s="81"/>
      <c r="I25" s="19" t="s">
        <v>77</v>
      </c>
      <c r="J25" s="88">
        <v>273</v>
      </c>
      <c r="K25" s="89">
        <v>16</v>
      </c>
      <c r="L25" s="83"/>
      <c r="M25" s="94" t="s">
        <v>96</v>
      </c>
      <c r="N25" s="363" t="s">
        <v>98</v>
      </c>
      <c r="O25" s="363"/>
      <c r="P25" s="363"/>
      <c r="Q25" s="363"/>
      <c r="R25" s="89" t="s">
        <v>80</v>
      </c>
    </row>
    <row r="26" spans="1:25" x14ac:dyDescent="0.25">
      <c r="A26" s="81" t="s">
        <v>18</v>
      </c>
      <c r="B26" s="81" t="s">
        <v>53</v>
      </c>
      <c r="C26" s="81" t="s">
        <v>99</v>
      </c>
      <c r="E26" s="81"/>
      <c r="I26" s="19" t="s">
        <v>78</v>
      </c>
      <c r="J26" s="88">
        <v>325</v>
      </c>
      <c r="K26" s="89">
        <v>16</v>
      </c>
      <c r="M26" s="169" t="str">
        <f>IF(M21="G-fin",CHAR(10)&amp;M21,IF(M21="Стальная лента",CHAR(10)&amp;"стальной лентой",""))</f>
        <v xml:space="preserve">
G-fin</v>
      </c>
      <c r="N26">
        <f>IF(N23&lt;&gt;25,N23+13.4,VLOOKUP(VALUE(B1),al_tube,2,FALSE))</f>
        <v>37.4</v>
      </c>
      <c r="O26">
        <f>IF(N23&lt;&gt;25,6,VLOOKUP(VALUE(B1),al_tube,3,))</f>
        <v>5.5</v>
      </c>
      <c r="P26">
        <f>IF(ISNA(P27),ROUNDUP(VLOOKUP(ROUNDDOWN(G1,)*1000,fin,IF(VALUE(N23)&gt;25,4,IF(VALUE(B1)=9,2,(IF(OR(VALUE(B1)=14.6,VALUE(B1)=20),3,4)))))/ROUNDDOWN(G1,)*G1,),P27)</f>
        <v>3432</v>
      </c>
      <c r="Q26">
        <f>ROUNDUP((N26^2-(N26-2*O26)^2)*3.14/4*2710/1000000,2)</f>
        <v>1.5</v>
      </c>
    </row>
    <row r="27" spans="1:25" x14ac:dyDescent="0.25">
      <c r="A27" s="81" t="s">
        <v>19</v>
      </c>
      <c r="B27" s="81" t="s">
        <v>53</v>
      </c>
      <c r="C27" s="81" t="s">
        <v>100</v>
      </c>
      <c r="E27" s="81"/>
      <c r="H27" s="92"/>
      <c r="I27" s="19" t="s">
        <v>79</v>
      </c>
      <c r="J27" s="88">
        <v>377</v>
      </c>
      <c r="K27" s="89">
        <v>16</v>
      </c>
      <c r="M27" s="170" t="s">
        <v>200</v>
      </c>
      <c r="N27" s="89"/>
      <c r="P27">
        <f>VLOOKUP(G3,fin,IF(VALUE(N23)&gt;25,4,IF(VALUE(B1)=9,2,(IF(OR(VALUE(B1)=14.6,VALUE(B1)=20),3,4)))),FALSE)</f>
        <v>3432</v>
      </c>
    </row>
    <row r="28" spans="1:25" x14ac:dyDescent="0.25">
      <c r="A28" s="81" t="s">
        <v>20</v>
      </c>
      <c r="B28" s="81" t="s">
        <v>50</v>
      </c>
      <c r="C28" s="81" t="s">
        <v>101</v>
      </c>
      <c r="E28" s="81"/>
      <c r="I28" s="239" t="str">
        <f>IF(P1="Цельносварная","Сталь ","")&amp;K1&amp;IF(P1="Цельносварная","-"&amp;L1,"")&amp;" "&amp;M1</f>
        <v>Сталь 09Г2С-15 ГОСТ 5520-79</v>
      </c>
      <c r="J28" s="239"/>
      <c r="K28" s="239"/>
      <c r="P28">
        <f>ROUNDUP(P26/1000,2)</f>
        <v>3.44</v>
      </c>
      <c r="T28" s="55">
        <f>ROUNDUP(T30+(T30/100*3),)</f>
        <v>367</v>
      </c>
    </row>
    <row r="29" spans="1:25" x14ac:dyDescent="0.25">
      <c r="A29" s="81" t="s">
        <v>21</v>
      </c>
      <c r="B29" s="81" t="s">
        <v>50</v>
      </c>
      <c r="C29" s="81" t="s">
        <v>101</v>
      </c>
      <c r="E29" s="81"/>
      <c r="I29" s="363" t="s">
        <v>145</v>
      </c>
      <c r="J29" s="363"/>
      <c r="K29" s="363"/>
      <c r="N29" s="363" t="s">
        <v>96</v>
      </c>
      <c r="O29" s="363"/>
      <c r="P29" s="363"/>
      <c r="Q29" s="264"/>
      <c r="T29" s="191" t="s">
        <v>243</v>
      </c>
    </row>
    <row r="30" spans="1:25" x14ac:dyDescent="0.25">
      <c r="I30" s="239" t="str">
        <f>"Сталь "&amp;K1&amp;"-"&amp;L1&amp;" "&amp;M3</f>
        <v>Сталь 09Г2С-15 ГОСТ 5520-79</v>
      </c>
      <c r="J30" s="239"/>
      <c r="K30" s="239"/>
      <c r="N30">
        <f>VLOOKUP(VALUE(B1),al_tube,4,FALSE)</f>
        <v>57</v>
      </c>
      <c r="O30">
        <f>VLOOKUP(VALUE(B1),al_tube,5,FALSE)</f>
        <v>0.3</v>
      </c>
      <c r="P30">
        <f>VLOOKUP(VALUE(B1),al_tube,6,FALSE)</f>
        <v>2.5</v>
      </c>
      <c r="Q30" s="103" t="s">
        <v>156</v>
      </c>
      <c r="R30">
        <f>Диалог!I53</f>
        <v>44</v>
      </c>
      <c r="S30">
        <f>Диалог!K53</f>
        <v>45</v>
      </c>
      <c r="T30" s="19">
        <f>(R30+S30)/2*control!E1</f>
        <v>356</v>
      </c>
      <c r="U30" s="19">
        <f>S30*(E1+IF(VALUE(E1)=2*F1,2,1))</f>
        <v>405</v>
      </c>
      <c r="V30" s="19">
        <f>U30/9</f>
        <v>45</v>
      </c>
      <c r="W30" s="19">
        <f>ROUNDUP(V30/100*3,)+V30</f>
        <v>47</v>
      </c>
      <c r="X30" s="19">
        <f>W30*9</f>
        <v>423</v>
      </c>
      <c r="Y30" s="55">
        <f>ROUNDUP(X30*T61,)</f>
        <v>897</v>
      </c>
    </row>
    <row r="31" spans="1:25" x14ac:dyDescent="0.25">
      <c r="C31" s="363" t="s">
        <v>166</v>
      </c>
      <c r="D31" s="363"/>
      <c r="E31" s="363" t="s">
        <v>165</v>
      </c>
      <c r="F31" s="239"/>
      <c r="G31" s="369" t="s">
        <v>210</v>
      </c>
      <c r="H31" s="365" t="s">
        <v>241</v>
      </c>
      <c r="I31" s="363" t="s">
        <v>208</v>
      </c>
      <c r="J31" s="363"/>
      <c r="K31" s="363"/>
      <c r="M31" s="211" t="s">
        <v>279</v>
      </c>
      <c r="N31" s="106" t="s">
        <v>212</v>
      </c>
      <c r="O31" s="106" t="s">
        <v>162</v>
      </c>
      <c r="P31" s="109" t="s">
        <v>163</v>
      </c>
      <c r="Q31" s="94" t="s">
        <v>157</v>
      </c>
      <c r="R31" s="158" t="s">
        <v>213</v>
      </c>
      <c r="S31" s="158" t="s">
        <v>214</v>
      </c>
      <c r="T31" s="158" t="s">
        <v>215</v>
      </c>
      <c r="U31" s="159" t="s">
        <v>216</v>
      </c>
      <c r="V31" s="158" t="s">
        <v>219</v>
      </c>
      <c r="W31" s="160">
        <v>0.03</v>
      </c>
      <c r="X31" s="159" t="s">
        <v>217</v>
      </c>
      <c r="Y31" s="159" t="s">
        <v>207</v>
      </c>
    </row>
    <row r="32" spans="1:25" x14ac:dyDescent="0.25">
      <c r="B32" s="91" t="s">
        <v>107</v>
      </c>
      <c r="C32" s="95" t="s">
        <v>105</v>
      </c>
      <c r="D32" s="91" t="s">
        <v>106</v>
      </c>
      <c r="E32" s="91">
        <v>1</v>
      </c>
      <c r="F32" s="91">
        <v>2</v>
      </c>
      <c r="G32" s="264"/>
      <c r="H32" s="365"/>
      <c r="I32" s="239" t="str">
        <f>IF(AND(P1="Коллектор",K1="09Г2С"),"-Б "," ")&amp;K1&amp;" "&amp;VLOOKUP(K1,mat_2,4,FALSE)</f>
        <v xml:space="preserve"> 09Г2С ГОСТ Р 54159-2010</v>
      </c>
      <c r="J32" s="239"/>
      <c r="K32" s="239"/>
      <c r="M32">
        <f>IF(N23=25,30,IF(N23=28,33,IF(N23=32,42,45)))</f>
        <v>30</v>
      </c>
      <c r="Q32" s="89" t="s">
        <v>250</v>
      </c>
      <c r="S32" s="363" t="s">
        <v>164</v>
      </c>
      <c r="T32" s="19">
        <f>T30*G1</f>
        <v>1424</v>
      </c>
    </row>
    <row r="33" spans="1:20" x14ac:dyDescent="0.25">
      <c r="A33" s="81" t="s">
        <v>50</v>
      </c>
      <c r="B33">
        <v>7850</v>
      </c>
      <c r="C33" s="81" t="s">
        <v>112</v>
      </c>
      <c r="D33" s="81" t="s">
        <v>111</v>
      </c>
      <c r="E33" s="96" t="s">
        <v>114</v>
      </c>
      <c r="F33" s="96" t="s">
        <v>115</v>
      </c>
      <c r="G33" s="98">
        <f>IF(OR(H1="У",H1="У1"),14,15)</f>
        <v>15</v>
      </c>
      <c r="H33">
        <v>0</v>
      </c>
      <c r="I33" s="363" t="s">
        <v>231</v>
      </c>
      <c r="J33" s="363"/>
      <c r="K33" s="363"/>
      <c r="M33" s="211" t="s">
        <v>282</v>
      </c>
      <c r="Q33" s="89" t="s">
        <v>156</v>
      </c>
      <c r="S33" s="239"/>
      <c r="T33" s="170" t="s">
        <v>217</v>
      </c>
    </row>
    <row r="34" spans="1:20" x14ac:dyDescent="0.25">
      <c r="A34" s="81" t="s">
        <v>80</v>
      </c>
      <c r="B34">
        <v>7850</v>
      </c>
      <c r="C34" s="81" t="s">
        <v>112</v>
      </c>
      <c r="D34" s="81" t="s">
        <v>102</v>
      </c>
      <c r="E34" s="81" t="str">
        <f>" "</f>
        <v xml:space="preserve"> </v>
      </c>
      <c r="F34" s="96" t="s">
        <v>115</v>
      </c>
      <c r="G34" s="98">
        <f>G33</f>
        <v>15</v>
      </c>
      <c r="H34">
        <v>0</v>
      </c>
      <c r="M34">
        <f>IF(N23&gt;28,0.06,0.05)</f>
        <v>0.05</v>
      </c>
      <c r="P34" s="1"/>
      <c r="Q34" s="89" t="s">
        <v>50</v>
      </c>
      <c r="S34" s="239"/>
      <c r="T34" s="55">
        <f>ROUNDUP(T32*Q23,)</f>
        <v>1624</v>
      </c>
    </row>
    <row r="35" spans="1:20" x14ac:dyDescent="0.25">
      <c r="A35" s="81" t="s">
        <v>109</v>
      </c>
      <c r="B35">
        <v>7850</v>
      </c>
      <c r="C35" s="81" t="s">
        <v>112</v>
      </c>
      <c r="D35" s="81" t="s">
        <v>111</v>
      </c>
      <c r="E35" s="96" t="s">
        <v>114</v>
      </c>
      <c r="F35" s="96" t="s">
        <v>115</v>
      </c>
      <c r="G35" s="98">
        <f>G33</f>
        <v>15</v>
      </c>
      <c r="H35">
        <v>0</v>
      </c>
      <c r="Q35" s="89" t="s">
        <v>53</v>
      </c>
      <c r="S35" s="239"/>
      <c r="T35" s="24" t="s">
        <v>242</v>
      </c>
    </row>
    <row r="36" spans="1:20" x14ac:dyDescent="0.25">
      <c r="A36" s="81" t="s">
        <v>51</v>
      </c>
      <c r="B36">
        <v>7750</v>
      </c>
      <c r="C36" s="81" t="s">
        <v>113</v>
      </c>
      <c r="D36" s="81" t="s">
        <v>102</v>
      </c>
      <c r="E36" s="96" t="s">
        <v>114</v>
      </c>
      <c r="F36" s="96" t="s">
        <v>115</v>
      </c>
      <c r="G36" s="98" t="s">
        <v>52</v>
      </c>
      <c r="H36">
        <v>1</v>
      </c>
      <c r="Q36" s="89" t="s">
        <v>81</v>
      </c>
      <c r="S36" s="363" t="s">
        <v>243</v>
      </c>
      <c r="T36" s="19">
        <f>T28*G1</f>
        <v>1468</v>
      </c>
    </row>
    <row r="37" spans="1:20" x14ac:dyDescent="0.25">
      <c r="A37" s="89" t="s">
        <v>110</v>
      </c>
      <c r="B37">
        <v>7950</v>
      </c>
      <c r="C37" s="89" t="s">
        <v>113</v>
      </c>
      <c r="D37" s="89" t="s">
        <v>103</v>
      </c>
      <c r="E37" s="89" t="str">
        <f t="shared" ref="E37:F41" si="0">" "</f>
        <v xml:space="preserve"> </v>
      </c>
      <c r="F37" s="89" t="str">
        <f t="shared" si="0"/>
        <v xml:space="preserve"> </v>
      </c>
      <c r="G37" s="98" t="s">
        <v>52</v>
      </c>
      <c r="H37">
        <v>1</v>
      </c>
      <c r="P37" s="1"/>
      <c r="Q37" s="89" t="s">
        <v>99</v>
      </c>
      <c r="S37" s="363"/>
      <c r="T37" s="170" t="s">
        <v>217</v>
      </c>
    </row>
    <row r="38" spans="1:20" x14ac:dyDescent="0.25">
      <c r="A38" s="81" t="s">
        <v>53</v>
      </c>
      <c r="B38">
        <v>7950</v>
      </c>
      <c r="C38" s="89" t="s">
        <v>113</v>
      </c>
      <c r="D38" s="81" t="s">
        <v>103</v>
      </c>
      <c r="E38" s="81" t="str">
        <f t="shared" si="0"/>
        <v xml:space="preserve"> </v>
      </c>
      <c r="F38" s="81" t="str">
        <f t="shared" si="0"/>
        <v xml:space="preserve"> </v>
      </c>
      <c r="G38" s="98" t="s">
        <v>52</v>
      </c>
      <c r="H38">
        <v>1</v>
      </c>
      <c r="N38" s="239" t="str">
        <f>"Предел текучести "&amp;IF(VLOOKUP(R23,mat_2,8,FALSE)=0,"согласно ГОСТ.","от 22 до 29 ед. кгс/мм.")</f>
        <v>Предел текучести согласно ГОСТ.</v>
      </c>
      <c r="O38" s="239"/>
      <c r="P38" s="239"/>
      <c r="Q38" s="239"/>
      <c r="S38" s="363"/>
      <c r="T38" s="55">
        <f>ROUNDUP(T36*Q23,)</f>
        <v>1674</v>
      </c>
    </row>
    <row r="39" spans="1:20" x14ac:dyDescent="0.25">
      <c r="A39" s="81" t="s">
        <v>99</v>
      </c>
      <c r="B39">
        <v>7950</v>
      </c>
      <c r="C39" s="81" t="s">
        <v>113</v>
      </c>
      <c r="D39" s="81" t="s">
        <v>103</v>
      </c>
      <c r="E39" s="81" t="str">
        <f t="shared" si="0"/>
        <v xml:space="preserve"> </v>
      </c>
      <c r="F39" s="81" t="str">
        <f t="shared" si="0"/>
        <v xml:space="preserve"> </v>
      </c>
      <c r="G39" s="98" t="s">
        <v>52</v>
      </c>
      <c r="H39">
        <v>1</v>
      </c>
      <c r="N39" s="363" t="s">
        <v>241</v>
      </c>
      <c r="O39" s="363"/>
      <c r="P39" s="363"/>
      <c r="Q39" s="363"/>
      <c r="S39" s="363"/>
      <c r="T39" s="24" t="s">
        <v>242</v>
      </c>
    </row>
    <row r="40" spans="1:20" x14ac:dyDescent="0.25">
      <c r="A40" s="81" t="s">
        <v>81</v>
      </c>
      <c r="B40">
        <v>7750</v>
      </c>
      <c r="C40" s="81" t="s">
        <v>113</v>
      </c>
      <c r="D40" s="81" t="s">
        <v>103</v>
      </c>
      <c r="E40" s="81" t="str">
        <f t="shared" si="0"/>
        <v xml:space="preserve"> </v>
      </c>
      <c r="F40" s="81" t="str">
        <f t="shared" si="0"/>
        <v xml:space="preserve"> </v>
      </c>
      <c r="G40" s="98" t="s">
        <v>52</v>
      </c>
      <c r="H40">
        <v>1</v>
      </c>
      <c r="N40" s="239" t="str">
        <f>"Труба"&amp;U23&amp;N23&amp;"x"&amp;O23&amp;"x"&amp;G3&amp;"-"&amp;R23&amp;V23&amp;" "&amp;T23</f>
        <v>Труба 25x2x4000-Ст20-В ГОСТ 550-75</v>
      </c>
      <c r="O40" s="239"/>
      <c r="P40" s="239"/>
      <c r="Q40" s="239"/>
      <c r="S40" s="363" t="s">
        <v>249</v>
      </c>
      <c r="T40" s="55">
        <f>ROUNDUP(T30*P28,)</f>
        <v>1225</v>
      </c>
    </row>
    <row r="41" spans="1:20" x14ac:dyDescent="0.25">
      <c r="A41" s="81" t="s">
        <v>100</v>
      </c>
      <c r="B41">
        <v>7750</v>
      </c>
      <c r="C41" s="81" t="s">
        <v>113</v>
      </c>
      <c r="D41" s="81" t="s">
        <v>104</v>
      </c>
      <c r="E41" s="81" t="str">
        <f t="shared" si="0"/>
        <v xml:space="preserve"> </v>
      </c>
      <c r="F41" s="81" t="str">
        <f t="shared" si="0"/>
        <v xml:space="preserve"> </v>
      </c>
      <c r="G41" s="98" t="s">
        <v>52</v>
      </c>
      <c r="H41">
        <v>1</v>
      </c>
      <c r="N41" s="363" t="s">
        <v>248</v>
      </c>
      <c r="O41" s="363"/>
      <c r="P41" s="363"/>
      <c r="Q41" s="363"/>
      <c r="S41" s="363"/>
      <c r="T41" s="170" t="s">
        <v>217</v>
      </c>
    </row>
    <row r="42" spans="1:20" x14ac:dyDescent="0.25">
      <c r="A42" s="81" t="s">
        <v>101</v>
      </c>
      <c r="B42">
        <v>8400</v>
      </c>
      <c r="C42" s="81"/>
      <c r="D42" s="81" t="s">
        <v>108</v>
      </c>
      <c r="E42" s="96" t="s">
        <v>144</v>
      </c>
      <c r="F42" s="96" t="s">
        <v>143</v>
      </c>
      <c r="G42" s="81" t="str">
        <f>" "</f>
        <v xml:space="preserve"> </v>
      </c>
      <c r="H42">
        <v>0</v>
      </c>
      <c r="N42" s="239" t="str">
        <f>"Труба АД1 "&amp;N26&amp;"x"&amp;O26&amp;"x"&amp;P26&amp;" ТУ 1-3-67-98"</f>
        <v>Труба АД1 37.4x5.5x3432 ТУ 1-3-67-98</v>
      </c>
      <c r="O42" s="239"/>
      <c r="P42" s="239"/>
      <c r="Q42" s="239"/>
      <c r="S42" s="363"/>
      <c r="T42">
        <f>ROUNDUP(T40*Q26,)</f>
        <v>1838</v>
      </c>
    </row>
    <row r="43" spans="1:20" x14ac:dyDescent="0.25">
      <c r="A43" s="89"/>
      <c r="C43" s="89"/>
      <c r="D43" s="89"/>
      <c r="E43" s="96"/>
      <c r="F43" s="96"/>
      <c r="G43" s="89"/>
      <c r="N43" s="363" t="s">
        <v>247</v>
      </c>
      <c r="O43" s="363"/>
      <c r="P43" s="363"/>
      <c r="Q43" s="363"/>
      <c r="S43" s="264"/>
      <c r="T43" s="24" t="s">
        <v>242</v>
      </c>
    </row>
    <row r="44" spans="1:20" x14ac:dyDescent="0.25">
      <c r="A44" s="88"/>
      <c r="B44" s="106" t="s">
        <v>158</v>
      </c>
      <c r="C44" s="106" t="s">
        <v>159</v>
      </c>
      <c r="D44" s="106" t="s">
        <v>161</v>
      </c>
      <c r="E44" s="106" t="s">
        <v>162</v>
      </c>
      <c r="F44" s="106" t="s">
        <v>163</v>
      </c>
      <c r="N44" s="239" t="str">
        <f>T30&amp;" шт;"&amp;CHAR(10)&amp;"коэффициент оребрения "&amp;B1&amp;"; диаметр по оребрению "&amp;N30&amp;" мм; "&amp;CHAR(10)&amp;"толщина ребра "&amp;O30&amp;" мм; шаг ребра "&amp;P30&amp;" мм"</f>
        <v>356 шт;
коэффициент оребрения 20; диаметр по оребрению 57 мм; 
толщина ребра 0.3 мм; шаг ребра 2.5 мм</v>
      </c>
      <c r="O44" s="239"/>
      <c r="P44" s="239"/>
      <c r="Q44" s="239"/>
      <c r="S44" s="363" t="s">
        <v>243</v>
      </c>
      <c r="T44">
        <f>ROUNDUP(T28*P28,)</f>
        <v>1263</v>
      </c>
    </row>
    <row r="45" spans="1:20" x14ac:dyDescent="0.25">
      <c r="A45" s="53">
        <v>9</v>
      </c>
      <c r="B45">
        <v>37</v>
      </c>
      <c r="C45">
        <v>5.3</v>
      </c>
      <c r="D45">
        <v>49</v>
      </c>
      <c r="E45">
        <v>0.6</v>
      </c>
      <c r="F45">
        <v>3.5</v>
      </c>
      <c r="N45" s="363" t="s">
        <v>251</v>
      </c>
      <c r="O45" s="363"/>
      <c r="P45" s="363"/>
      <c r="Q45" s="363"/>
      <c r="S45" s="363"/>
      <c r="T45" s="170" t="s">
        <v>217</v>
      </c>
    </row>
    <row r="46" spans="1:20" x14ac:dyDescent="0.25">
      <c r="A46" s="53">
        <v>14.6</v>
      </c>
      <c r="B46">
        <v>37.4</v>
      </c>
      <c r="C46">
        <v>5.5</v>
      </c>
      <c r="D46">
        <v>56</v>
      </c>
      <c r="E46">
        <v>0.6</v>
      </c>
      <c r="F46">
        <v>3</v>
      </c>
      <c r="O46">
        <f>Диалог!F19</f>
        <v>500</v>
      </c>
      <c r="S46" s="363"/>
      <c r="T46">
        <f>ROUNDUP(T44*Q26,)</f>
        <v>1895</v>
      </c>
    </row>
    <row r="47" spans="1:20" x14ac:dyDescent="0.25">
      <c r="A47" s="53">
        <v>20</v>
      </c>
      <c r="B47">
        <v>37.4</v>
      </c>
      <c r="C47">
        <v>5.5</v>
      </c>
      <c r="D47">
        <v>57</v>
      </c>
      <c r="E47">
        <v>0.3</v>
      </c>
      <c r="F47">
        <v>2.5</v>
      </c>
      <c r="O47">
        <f>IF(VALUE(S1)&gt;1,Диалог!F20,0)</f>
        <v>500</v>
      </c>
      <c r="S47" s="363"/>
      <c r="T47" s="24" t="s">
        <v>242</v>
      </c>
    </row>
    <row r="48" spans="1:20" x14ac:dyDescent="0.25">
      <c r="A48" s="53">
        <v>22</v>
      </c>
      <c r="B48">
        <v>38</v>
      </c>
      <c r="C48">
        <v>5.8</v>
      </c>
      <c r="D48">
        <v>57</v>
      </c>
      <c r="E48">
        <v>0.3</v>
      </c>
      <c r="F48">
        <v>2.2999999999999998</v>
      </c>
      <c r="O48">
        <f>IF(VALUE(S1)&gt;2,Диалог!F21,0)</f>
        <v>500</v>
      </c>
    </row>
    <row r="49" spans="1:20" x14ac:dyDescent="0.25">
      <c r="A49" s="53"/>
      <c r="O49">
        <f>Диалог!F23</f>
        <v>500</v>
      </c>
    </row>
    <row r="50" spans="1:20" x14ac:dyDescent="0.25">
      <c r="A50" s="92"/>
      <c r="B50" s="106">
        <v>9</v>
      </c>
      <c r="C50" s="106" t="s">
        <v>167</v>
      </c>
      <c r="D50" s="106">
        <v>22</v>
      </c>
      <c r="E50" s="92"/>
      <c r="F50" s="92"/>
      <c r="O50">
        <f>IF(VALUE(T1)&gt;1,Диалог!F24,0)</f>
        <v>500</v>
      </c>
    </row>
    <row r="51" spans="1:20" ht="13.5" customHeight="1" x14ac:dyDescent="0.25">
      <c r="A51">
        <v>1000</v>
      </c>
      <c r="B51">
        <v>850</v>
      </c>
      <c r="C51">
        <v>858</v>
      </c>
      <c r="D51">
        <v>885</v>
      </c>
      <c r="O51">
        <f>IF(VALUE(T1)&gt;2,Диалог!F25,0)</f>
        <v>500</v>
      </c>
    </row>
    <row r="52" spans="1:20" x14ac:dyDescent="0.25">
      <c r="A52">
        <v>1500</v>
      </c>
      <c r="B52">
        <v>1275</v>
      </c>
      <c r="C52">
        <v>1287</v>
      </c>
      <c r="D52">
        <v>1325</v>
      </c>
      <c r="N52" s="138">
        <f>(F1+2)*140+342</f>
        <v>1042</v>
      </c>
      <c r="O52" s="23">
        <f>LARGE(O46:O51,1)+180</f>
        <v>680</v>
      </c>
    </row>
    <row r="53" spans="1:20" x14ac:dyDescent="0.25">
      <c r="A53">
        <v>3000</v>
      </c>
      <c r="B53">
        <v>2550</v>
      </c>
      <c r="C53">
        <v>2574</v>
      </c>
      <c r="D53">
        <v>2655</v>
      </c>
      <c r="N53" s="164" t="s">
        <v>205</v>
      </c>
      <c r="O53" s="164" t="s">
        <v>225</v>
      </c>
      <c r="P53">
        <f>IF(P1="Цельносварная",O52,N52)</f>
        <v>680</v>
      </c>
    </row>
    <row r="54" spans="1:20" x14ac:dyDescent="0.25">
      <c r="A54">
        <v>4000</v>
      </c>
      <c r="B54">
        <v>3400</v>
      </c>
      <c r="C54">
        <v>3432</v>
      </c>
      <c r="D54">
        <v>3530</v>
      </c>
      <c r="G54" s="107"/>
      <c r="N54" s="363" t="s">
        <v>224</v>
      </c>
      <c r="O54" s="264"/>
      <c r="P54" s="264"/>
      <c r="R54" s="157">
        <f>Диалог!G31</f>
        <v>16</v>
      </c>
      <c r="S54" s="89" t="str">
        <f>MID(R54,1,1)</f>
        <v>1</v>
      </c>
      <c r="T54" s="89" t="str">
        <f>MID(R54,2,1)</f>
        <v>6</v>
      </c>
    </row>
    <row r="55" spans="1:20" x14ac:dyDescent="0.25">
      <c r="A55">
        <v>6000</v>
      </c>
      <c r="B55">
        <v>5100</v>
      </c>
      <c r="C55">
        <v>5148</v>
      </c>
      <c r="D55">
        <v>5300</v>
      </c>
      <c r="R55">
        <f>IF(R54&gt;=20,VALUE(S55&amp;T55),IF(R54&gt;16,20,MROUND(R54,2)))</f>
        <v>16</v>
      </c>
      <c r="S55" s="89">
        <f>IF(VALUE(T54)&gt;5,VALUE(S54)+1,S54)</f>
        <v>2</v>
      </c>
      <c r="T55">
        <f>IF(OR(VALUE(T54)&gt;5,VALUE(T54)=0),0,5)</f>
        <v>0</v>
      </c>
    </row>
    <row r="56" spans="1:20" x14ac:dyDescent="0.25">
      <c r="A56">
        <v>8000</v>
      </c>
      <c r="B56">
        <v>6800</v>
      </c>
      <c r="C56">
        <v>6864</v>
      </c>
      <c r="D56">
        <v>7060</v>
      </c>
      <c r="N56" s="205" t="s">
        <v>271</v>
      </c>
      <c r="O56" s="211" t="s">
        <v>275</v>
      </c>
      <c r="P56" s="211" t="s">
        <v>276</v>
      </c>
      <c r="R56" s="363" t="s">
        <v>209</v>
      </c>
      <c r="S56" s="363"/>
      <c r="T56" s="363"/>
    </row>
    <row r="57" spans="1:20" x14ac:dyDescent="0.25">
      <c r="A57">
        <v>9000</v>
      </c>
      <c r="B57">
        <v>7650</v>
      </c>
      <c r="C57">
        <v>7722</v>
      </c>
      <c r="D57">
        <v>7950</v>
      </c>
      <c r="N57" s="89" t="str">
        <f>IF(OR(F14="40Х",F14="10Г2"),".05","")</f>
        <v>.05</v>
      </c>
      <c r="O57" s="89">
        <f>IF(OR(H1="У",H1="У1"),40,IF(OR(H1="У",H1="У1"),40,60))</f>
        <v>60</v>
      </c>
      <c r="P57" s="89" t="b">
        <f>IF(OR(F14="40Х",F14="10Г2"),TRUE,FALSE)</f>
        <v>1</v>
      </c>
      <c r="R57">
        <v>25</v>
      </c>
      <c r="S57">
        <v>28</v>
      </c>
    </row>
    <row r="58" spans="1:20" x14ac:dyDescent="0.25">
      <c r="A58">
        <v>10000</v>
      </c>
      <c r="B58">
        <v>8500</v>
      </c>
      <c r="C58">
        <v>8580</v>
      </c>
      <c r="D58">
        <v>8830</v>
      </c>
      <c r="I58" s="1"/>
      <c r="M58" s="212" t="s">
        <v>272</v>
      </c>
      <c r="N58" s="89" t="str">
        <f>IF(J8="25","fl_m_25",IF(J8="50","fl_m_50",IF(J8="80","fl_m_80",IF(J8="100","fl_m_100",IF(J8="125","fl_m_125",IF(J8="150","fl_m_150",IF(J8="200","fl_m_200",IF(J8="250","fl_m_250",IF(J8="300","fl_m_300",IF(J8="350","fl_m_350",FALSE))))))))))</f>
        <v>fl_m_200</v>
      </c>
      <c r="O58" s="89" t="str">
        <f>IF(K8="25","fl_m_25",IF(K8="50","fl_m_50",IF(K8="80","fl_m_80",IF(K8="100","fl_m_100",IF(K8="125","fl_m_125",IF(K8="150","fl_m_150",IF(K8="200","fl_m_200",IF(K8="250","fl_m_250",IF(K8="300","fl_m_300",IF(K8="350","fl_m_350",FALSE))))))))))</f>
        <v>fl_m_150</v>
      </c>
      <c r="P58" s="89" t="str">
        <f>IF(L8="25","fl_m_25",IF(L8="50","fl_m_50",IF(L8="80","fl_m_80",IF(L8="100","fl_m_100",IF(L8="125","fl_m_125",IF(L8="150","fl_m_150",IF(L8="200","fl_m_200",IF(L8="250","fl_m_250",IF(L8="300","fl_m_300",IF(L8="350","fl_m_350",FALSE))))))))))</f>
        <v>fl_m_100</v>
      </c>
      <c r="R58">
        <v>28</v>
      </c>
      <c r="S58">
        <v>32</v>
      </c>
    </row>
    <row r="59" spans="1:20" x14ac:dyDescent="0.25">
      <c r="A59">
        <v>12000</v>
      </c>
      <c r="B59">
        <v>10200</v>
      </c>
      <c r="C59">
        <v>10296</v>
      </c>
      <c r="D59">
        <v>10600</v>
      </c>
      <c r="M59" s="367" t="s">
        <v>274</v>
      </c>
      <c r="N59" s="89">
        <f ca="1">VLOOKUP(J11,INDIRECT(N58),2,FALSE)*J10</f>
        <v>48</v>
      </c>
      <c r="O59" s="89">
        <f ca="1">VLOOKUP(K11,INDIRECT(O58),2,FALSE)*K10</f>
        <v>32</v>
      </c>
      <c r="P59" s="89">
        <f ca="1">VLOOKUP(L11,INDIRECT(P58),2,FALSE)*L10</f>
        <v>32</v>
      </c>
      <c r="R59">
        <v>32</v>
      </c>
      <c r="S59">
        <v>38</v>
      </c>
    </row>
    <row r="60" spans="1:20" x14ac:dyDescent="0.25">
      <c r="M60" s="264"/>
      <c r="N60" s="89">
        <f ca="1">VLOOKUP(J11,INDIRECT(N58),3,FALSE)</f>
        <v>24</v>
      </c>
      <c r="O60" s="89">
        <f ca="1">VLOOKUP(K11,INDIRECT(O58),3,FALSE)</f>
        <v>24</v>
      </c>
      <c r="P60" s="89">
        <f ca="1">VLOOKUP(L11,INDIRECT(P58),3,FALSE)</f>
        <v>20</v>
      </c>
      <c r="R60">
        <v>38</v>
      </c>
      <c r="S60">
        <v>0</v>
      </c>
    </row>
    <row r="61" spans="1:20" x14ac:dyDescent="0.25">
      <c r="A61" s="370" t="s">
        <v>268</v>
      </c>
      <c r="B61" s="371"/>
      <c r="C61" s="371"/>
      <c r="D61" s="90" t="s">
        <v>269</v>
      </c>
      <c r="E61" s="202" t="str">
        <f>"+обтюратор"</f>
        <v>+обтюратор</v>
      </c>
      <c r="M61" s="264"/>
      <c r="N61">
        <f ca="1">VLOOKUP(J11,INDIRECT(N58),IF(J4,5,4),FALSE)</f>
        <v>150</v>
      </c>
      <c r="O61">
        <f ca="1">VLOOKUP(K11,INDIRECT(O58),IF(J4,5,4),FALSE)</f>
        <v>130</v>
      </c>
      <c r="P61">
        <f ca="1">VLOOKUP(L11,INDIRECT(P58),IF(J4,5,4),FALSE)</f>
        <v>110</v>
      </c>
      <c r="R61">
        <f>VLOOKUP(N23,kalach,2,FALSE)</f>
        <v>28</v>
      </c>
      <c r="S61">
        <f>(R61-(N23-2*O23))/2</f>
        <v>3.5</v>
      </c>
      <c r="T61">
        <f>ROUNDUP((R61^2-(R61-2*S61)^2)*3.14/4*S23/1000000,2)</f>
        <v>2.1199999999999997</v>
      </c>
    </row>
    <row r="62" spans="1:20" x14ac:dyDescent="0.25">
      <c r="A62" s="108">
        <v>6</v>
      </c>
      <c r="B62">
        <v>4</v>
      </c>
      <c r="C62">
        <v>8</v>
      </c>
      <c r="D62">
        <v>70</v>
      </c>
      <c r="E62">
        <f>D62+20</f>
        <v>90</v>
      </c>
      <c r="M62" s="363" t="s">
        <v>270</v>
      </c>
      <c r="N62" s="364" t="str">
        <f ca="1">"Шпилька 2-1-М"&amp;N60&amp;"-8gx"&amp;N61&amp;"."&amp;F14&amp;N57&amp;" ОСТ 26-2040-96"</f>
        <v>Шпилька 2-1-М24-8gx150.40Х.05 ОСТ 26-2040-96</v>
      </c>
      <c r="O62" s="364"/>
      <c r="P62" s="364"/>
      <c r="R62" s="363" t="s">
        <v>211</v>
      </c>
      <c r="S62" s="363"/>
      <c r="T62" s="162" t="s">
        <v>218</v>
      </c>
    </row>
    <row r="63" spans="1:20" x14ac:dyDescent="0.25">
      <c r="A63" s="55">
        <v>10</v>
      </c>
      <c r="B63">
        <v>4</v>
      </c>
      <c r="C63">
        <v>12</v>
      </c>
      <c r="D63">
        <v>80</v>
      </c>
      <c r="E63">
        <f>D63+20</f>
        <v>100</v>
      </c>
      <c r="M63" s="363"/>
      <c r="N63" s="364" t="str">
        <f ca="1">"Шпилька 2-1-М"&amp;O60&amp;"-8gx"&amp;O61&amp;"."&amp;F14&amp;N57&amp;" ОСТ 26-2040-96"</f>
        <v>Шпилька 2-1-М24-8gx130.40Х.05 ОСТ 26-2040-96</v>
      </c>
      <c r="O63" s="364"/>
      <c r="P63" s="364"/>
    </row>
    <row r="64" spans="1:20" x14ac:dyDescent="0.25">
      <c r="A64" s="108">
        <v>16</v>
      </c>
      <c r="B64">
        <v>4</v>
      </c>
      <c r="C64">
        <v>12</v>
      </c>
      <c r="D64">
        <v>80</v>
      </c>
      <c r="E64">
        <f>D64+20</f>
        <v>100</v>
      </c>
      <c r="M64" s="363"/>
      <c r="N64" s="364" t="str">
        <f ca="1">"Шпилька 2-1-М"&amp;P60&amp;"-8gx"&amp;P61&amp;"."&amp;F14&amp;N57&amp;" ОСТ 26-2040-96"</f>
        <v>Шпилька 2-1-М20-8gx110.40Х.05 ОСТ 26-2040-96</v>
      </c>
      <c r="O64" s="364"/>
      <c r="P64" s="364"/>
      <c r="R64">
        <v>2</v>
      </c>
      <c r="S64">
        <v>4</v>
      </c>
      <c r="T64" s="19">
        <f>R68+IF(J6,S68,0)+IF(K6,T68,0)</f>
        <v>4</v>
      </c>
    </row>
    <row r="65" spans="1:20" x14ac:dyDescent="0.25">
      <c r="A65" s="108">
        <v>25</v>
      </c>
      <c r="B65">
        <v>4</v>
      </c>
      <c r="C65">
        <v>12</v>
      </c>
      <c r="D65">
        <v>80</v>
      </c>
      <c r="E65">
        <f>D65+20</f>
        <v>100</v>
      </c>
      <c r="M65" s="363" t="s">
        <v>273</v>
      </c>
      <c r="N65" s="364" t="str">
        <f ca="1">"Гайка М"&amp;N60&amp;"-7Н."&amp;F14&amp;N57&amp;" ОСТ 26-2041-96"</f>
        <v>Гайка М24-7Н.40Х.05 ОСТ 26-2041-96</v>
      </c>
      <c r="O65" s="364"/>
      <c r="P65" s="364"/>
      <c r="R65" s="220" t="s">
        <v>286</v>
      </c>
      <c r="S65" s="220" t="s">
        <v>159</v>
      </c>
      <c r="T65" s="220" t="s">
        <v>288</v>
      </c>
    </row>
    <row r="66" spans="1:20" x14ac:dyDescent="0.25">
      <c r="A66" s="108">
        <v>40</v>
      </c>
      <c r="B66">
        <v>4</v>
      </c>
      <c r="C66">
        <v>12</v>
      </c>
      <c r="D66">
        <v>80</v>
      </c>
      <c r="E66">
        <f>D66+20</f>
        <v>100</v>
      </c>
      <c r="M66" s="363"/>
      <c r="N66" s="364" t="str">
        <f ca="1">"Гайка М"&amp;O60&amp;"-7Н."&amp;F14&amp;N57&amp;" ОСТ 26-2041-96"</f>
        <v>Гайка М24-7Н.40Х.05 ОСТ 26-2041-96</v>
      </c>
      <c r="O66" s="364"/>
      <c r="P66" s="364"/>
      <c r="R66" s="221" t="str">
        <f>IF(J12="J","Овальная",R67)</f>
        <v>ПУТГ</v>
      </c>
      <c r="S66" s="221" t="str">
        <f>IF(K12="J","Овальная",S67)</f>
        <v>ПМБ</v>
      </c>
      <c r="T66" s="221" t="str">
        <f>IF(L12="J","Овальная",T67)</f>
        <v>СНП</v>
      </c>
    </row>
    <row r="67" spans="1:20" x14ac:dyDescent="0.25">
      <c r="A67" s="108">
        <v>63</v>
      </c>
      <c r="B67">
        <v>4</v>
      </c>
      <c r="C67">
        <v>16</v>
      </c>
      <c r="D67">
        <v>100</v>
      </c>
      <c r="E67">
        <f>D67+30</f>
        <v>130</v>
      </c>
      <c r="M67" s="363"/>
      <c r="N67" s="364" t="str">
        <f ca="1">"Гайка М"&amp;P60&amp;"-7Н."&amp;F14&amp;N57&amp;" ОСТ 26-2041-96"</f>
        <v>Гайка М20-7Н.40Х.05 ОСТ 26-2041-96</v>
      </c>
      <c r="O67" s="364"/>
      <c r="P67" s="364"/>
      <c r="R67" s="221" t="s">
        <v>150</v>
      </c>
      <c r="S67" s="221" t="s">
        <v>149</v>
      </c>
      <c r="T67" s="221" t="s">
        <v>148</v>
      </c>
    </row>
    <row r="68" spans="1:20" x14ac:dyDescent="0.25">
      <c r="A68" s="108">
        <v>100</v>
      </c>
      <c r="B68">
        <v>4</v>
      </c>
      <c r="C68">
        <v>16</v>
      </c>
      <c r="D68">
        <v>110</v>
      </c>
      <c r="E68">
        <f>D68+30</f>
        <v>140</v>
      </c>
      <c r="N68" s="366" t="str">
        <f>"Испытание на ударную взякость при температуре равной минус "&amp;O57&amp;"°С с острым надрезом. Разность твердости гаек и шпилек не менее 15НВ."</f>
        <v>Испытание на ударную взякость при температуре равной минус 60°С с острым надрезом. Разность твердости гаек и шпилек не менее 15НВ.</v>
      </c>
      <c r="O68" s="366"/>
      <c r="P68" s="366"/>
      <c r="R68">
        <f>ROUNDUP(J8/1000*J8/1000*S64*R64*J10,)</f>
        <v>2</v>
      </c>
      <c r="S68">
        <f>ROUNDUP(K8/1000*K8/1000*S64*R64*K10,)</f>
        <v>1</v>
      </c>
      <c r="T68">
        <f>ROUNDUP(L8/1000*L8/1000*S64*R64*L10,)</f>
        <v>1</v>
      </c>
    </row>
    <row r="69" spans="1:20" x14ac:dyDescent="0.25">
      <c r="A69" s="108">
        <v>160</v>
      </c>
      <c r="B69">
        <v>4</v>
      </c>
      <c r="C69">
        <v>16</v>
      </c>
      <c r="D69">
        <v>110</v>
      </c>
      <c r="E69">
        <f>D69+30</f>
        <v>140</v>
      </c>
      <c r="N69" s="366"/>
      <c r="O69" s="366"/>
      <c r="P69" s="366"/>
      <c r="R69" s="220" t="s">
        <v>82</v>
      </c>
      <c r="S69" s="220" t="s">
        <v>83</v>
      </c>
      <c r="T69" s="220" t="s">
        <v>84</v>
      </c>
    </row>
    <row r="70" spans="1:20" x14ac:dyDescent="0.25">
      <c r="A70" s="108">
        <v>200</v>
      </c>
      <c r="B70">
        <v>4</v>
      </c>
      <c r="C70">
        <v>24</v>
      </c>
      <c r="D70">
        <v>140</v>
      </c>
      <c r="E70">
        <f>D70+30</f>
        <v>170</v>
      </c>
      <c r="N70" s="366"/>
      <c r="O70" s="366"/>
      <c r="P70" s="366"/>
      <c r="R70" s="363" t="s">
        <v>287</v>
      </c>
      <c r="S70" s="264"/>
      <c r="T70" s="264"/>
    </row>
    <row r="71" spans="1:20" x14ac:dyDescent="0.25">
      <c r="A71" s="363">
        <v>50</v>
      </c>
      <c r="B71" s="239"/>
      <c r="C71" s="239"/>
      <c r="D71" s="239"/>
      <c r="E71" s="239"/>
    </row>
    <row r="72" spans="1:20" x14ac:dyDescent="0.25">
      <c r="A72" s="108">
        <v>6</v>
      </c>
      <c r="B72">
        <v>4</v>
      </c>
      <c r="C72">
        <v>12</v>
      </c>
      <c r="D72">
        <v>80</v>
      </c>
      <c r="E72">
        <f>D72+20</f>
        <v>100</v>
      </c>
    </row>
    <row r="73" spans="1:20" x14ac:dyDescent="0.25">
      <c r="A73" s="55">
        <v>10</v>
      </c>
      <c r="B73">
        <v>4</v>
      </c>
      <c r="C73">
        <v>16</v>
      </c>
      <c r="D73">
        <v>80</v>
      </c>
      <c r="E73">
        <f>D73+20</f>
        <v>100</v>
      </c>
    </row>
    <row r="74" spans="1:20" x14ac:dyDescent="0.25">
      <c r="A74" s="108">
        <v>16</v>
      </c>
      <c r="B74">
        <v>4</v>
      </c>
      <c r="C74">
        <v>16</v>
      </c>
      <c r="D74">
        <v>80</v>
      </c>
      <c r="E74">
        <f>D74+20</f>
        <v>100</v>
      </c>
    </row>
    <row r="75" spans="1:20" x14ac:dyDescent="0.25">
      <c r="A75" s="108">
        <v>25</v>
      </c>
      <c r="B75">
        <v>4</v>
      </c>
      <c r="C75">
        <v>16</v>
      </c>
      <c r="D75">
        <v>100</v>
      </c>
      <c r="E75">
        <f t="shared" ref="E75:E80" si="1">D75+30</f>
        <v>130</v>
      </c>
    </row>
    <row r="76" spans="1:20" x14ac:dyDescent="0.25">
      <c r="A76" s="108">
        <v>40</v>
      </c>
      <c r="B76">
        <v>4</v>
      </c>
      <c r="C76">
        <v>16</v>
      </c>
      <c r="D76">
        <v>100</v>
      </c>
      <c r="E76">
        <f t="shared" si="1"/>
        <v>130</v>
      </c>
    </row>
    <row r="77" spans="1:20" x14ac:dyDescent="0.25">
      <c r="A77" s="108">
        <v>63</v>
      </c>
      <c r="B77">
        <v>4</v>
      </c>
      <c r="C77">
        <v>20</v>
      </c>
      <c r="D77">
        <v>110</v>
      </c>
      <c r="E77">
        <f t="shared" si="1"/>
        <v>140</v>
      </c>
    </row>
    <row r="78" spans="1:20" x14ac:dyDescent="0.25">
      <c r="A78" s="108">
        <v>100</v>
      </c>
      <c r="B78">
        <v>4</v>
      </c>
      <c r="C78">
        <v>24</v>
      </c>
      <c r="D78">
        <v>130</v>
      </c>
      <c r="E78">
        <f t="shared" si="1"/>
        <v>160</v>
      </c>
    </row>
    <row r="79" spans="1:20" x14ac:dyDescent="0.25">
      <c r="A79" s="108">
        <v>160</v>
      </c>
      <c r="B79">
        <v>4</v>
      </c>
      <c r="C79">
        <v>24</v>
      </c>
      <c r="D79">
        <v>140</v>
      </c>
      <c r="E79">
        <f t="shared" si="1"/>
        <v>170</v>
      </c>
    </row>
    <row r="80" spans="1:20" x14ac:dyDescent="0.25">
      <c r="A80" s="108">
        <v>200</v>
      </c>
      <c r="B80">
        <v>8</v>
      </c>
      <c r="C80">
        <v>24</v>
      </c>
      <c r="D80">
        <v>150</v>
      </c>
      <c r="E80">
        <f t="shared" si="1"/>
        <v>180</v>
      </c>
    </row>
    <row r="81" spans="1:5" x14ac:dyDescent="0.25">
      <c r="A81" s="363">
        <v>80</v>
      </c>
      <c r="B81" s="239"/>
      <c r="C81" s="239"/>
      <c r="D81" s="239"/>
      <c r="E81" s="239"/>
    </row>
    <row r="82" spans="1:5" x14ac:dyDescent="0.25">
      <c r="A82" s="108">
        <v>6</v>
      </c>
      <c r="B82" s="108">
        <v>4</v>
      </c>
      <c r="C82" s="55">
        <v>16</v>
      </c>
      <c r="D82" s="55">
        <v>80</v>
      </c>
      <c r="E82" s="55">
        <f>D82+20</f>
        <v>100</v>
      </c>
    </row>
    <row r="83" spans="1:5" x14ac:dyDescent="0.25">
      <c r="A83" s="55">
        <v>10</v>
      </c>
      <c r="B83" s="108">
        <v>4</v>
      </c>
      <c r="C83" s="55">
        <v>16</v>
      </c>
      <c r="D83" s="55">
        <v>80</v>
      </c>
      <c r="E83" s="55">
        <f>D83+20</f>
        <v>100</v>
      </c>
    </row>
    <row r="84" spans="1:5" x14ac:dyDescent="0.25">
      <c r="A84" s="108">
        <v>16</v>
      </c>
      <c r="B84" s="108">
        <v>4</v>
      </c>
      <c r="C84" s="55">
        <v>16</v>
      </c>
      <c r="D84" s="55">
        <v>100</v>
      </c>
      <c r="E84" s="55">
        <f>D84+20</f>
        <v>120</v>
      </c>
    </row>
    <row r="85" spans="1:5" x14ac:dyDescent="0.25">
      <c r="A85" s="108">
        <v>25</v>
      </c>
      <c r="B85" s="108">
        <v>8</v>
      </c>
      <c r="C85" s="55">
        <v>16</v>
      </c>
      <c r="D85" s="55">
        <v>100</v>
      </c>
      <c r="E85" s="55">
        <f>D85+20</f>
        <v>120</v>
      </c>
    </row>
    <row r="86" spans="1:5" x14ac:dyDescent="0.25">
      <c r="A86" s="108">
        <v>40</v>
      </c>
      <c r="B86" s="108">
        <v>8</v>
      </c>
      <c r="C86" s="55">
        <v>16</v>
      </c>
      <c r="D86" s="55">
        <v>110</v>
      </c>
      <c r="E86" s="55">
        <f>D86+30</f>
        <v>140</v>
      </c>
    </row>
    <row r="87" spans="1:5" x14ac:dyDescent="0.25">
      <c r="A87" s="108">
        <v>63</v>
      </c>
      <c r="B87" s="108">
        <v>8</v>
      </c>
      <c r="C87" s="55">
        <v>20</v>
      </c>
      <c r="D87" s="55">
        <v>130</v>
      </c>
      <c r="E87" s="55">
        <f>D87+30</f>
        <v>160</v>
      </c>
    </row>
    <row r="88" spans="1:5" x14ac:dyDescent="0.25">
      <c r="A88" s="108">
        <v>100</v>
      </c>
      <c r="B88" s="108">
        <v>8</v>
      </c>
      <c r="C88" s="55">
        <v>24</v>
      </c>
      <c r="D88" s="55">
        <v>140</v>
      </c>
      <c r="E88" s="55">
        <f>D88+40</f>
        <v>180</v>
      </c>
    </row>
    <row r="89" spans="1:5" x14ac:dyDescent="0.25">
      <c r="A89" s="108">
        <v>160</v>
      </c>
      <c r="B89" s="108">
        <v>8</v>
      </c>
      <c r="C89" s="55">
        <v>24</v>
      </c>
      <c r="D89" s="55">
        <v>150</v>
      </c>
      <c r="E89" s="55">
        <f>D89+40</f>
        <v>190</v>
      </c>
    </row>
    <row r="90" spans="1:5" x14ac:dyDescent="0.25">
      <c r="A90" s="108">
        <v>200</v>
      </c>
      <c r="B90" s="108">
        <v>8</v>
      </c>
      <c r="C90" s="55">
        <v>30</v>
      </c>
      <c r="D90" s="55">
        <v>190</v>
      </c>
      <c r="E90" s="55">
        <f>D90+60</f>
        <v>250</v>
      </c>
    </row>
    <row r="91" spans="1:5" x14ac:dyDescent="0.25">
      <c r="A91" s="363">
        <v>100</v>
      </c>
      <c r="B91" s="239"/>
      <c r="C91" s="239"/>
      <c r="D91" s="239"/>
      <c r="E91" s="239"/>
    </row>
    <row r="92" spans="1:5" x14ac:dyDescent="0.25">
      <c r="A92" s="108">
        <v>6</v>
      </c>
      <c r="B92" s="108">
        <v>4</v>
      </c>
      <c r="C92" s="204">
        <v>16</v>
      </c>
      <c r="D92" s="204">
        <v>80</v>
      </c>
      <c r="E92" s="55">
        <f>D92+20</f>
        <v>100</v>
      </c>
    </row>
    <row r="93" spans="1:5" x14ac:dyDescent="0.25">
      <c r="A93" s="55">
        <v>10</v>
      </c>
      <c r="B93" s="108">
        <v>8</v>
      </c>
      <c r="C93" s="204">
        <v>16</v>
      </c>
      <c r="D93" s="204">
        <v>100</v>
      </c>
      <c r="E93" s="55">
        <f>D93+20</f>
        <v>120</v>
      </c>
    </row>
    <row r="94" spans="1:5" x14ac:dyDescent="0.25">
      <c r="A94" s="108">
        <v>16</v>
      </c>
      <c r="B94" s="108">
        <v>8</v>
      </c>
      <c r="C94" s="204">
        <v>16</v>
      </c>
      <c r="D94" s="204">
        <v>100</v>
      </c>
      <c r="E94" s="55">
        <f>D94+20</f>
        <v>120</v>
      </c>
    </row>
    <row r="95" spans="1:5" x14ac:dyDescent="0.25">
      <c r="A95" s="108">
        <v>25</v>
      </c>
      <c r="B95" s="108">
        <v>8</v>
      </c>
      <c r="C95" s="204">
        <v>20</v>
      </c>
      <c r="D95" s="204">
        <v>110</v>
      </c>
      <c r="E95" s="55">
        <f>D95+30</f>
        <v>140</v>
      </c>
    </row>
    <row r="96" spans="1:5" x14ac:dyDescent="0.25">
      <c r="A96" s="108">
        <v>40</v>
      </c>
      <c r="B96" s="108">
        <v>8</v>
      </c>
      <c r="C96" s="204">
        <v>20</v>
      </c>
      <c r="D96" s="204">
        <v>110</v>
      </c>
      <c r="E96" s="55">
        <f>D96+30</f>
        <v>140</v>
      </c>
    </row>
    <row r="97" spans="1:5" x14ac:dyDescent="0.25">
      <c r="A97" s="108">
        <v>63</v>
      </c>
      <c r="B97" s="108">
        <v>8</v>
      </c>
      <c r="C97" s="204">
        <v>24</v>
      </c>
      <c r="D97" s="204">
        <v>130</v>
      </c>
      <c r="E97" s="55">
        <f>D97+40</f>
        <v>170</v>
      </c>
    </row>
    <row r="98" spans="1:5" x14ac:dyDescent="0.25">
      <c r="A98" s="108">
        <v>100</v>
      </c>
      <c r="B98" s="108">
        <v>8</v>
      </c>
      <c r="C98" s="204">
        <v>27</v>
      </c>
      <c r="D98" s="204">
        <v>150</v>
      </c>
      <c r="E98" s="55">
        <f>D98+40</f>
        <v>190</v>
      </c>
    </row>
    <row r="99" spans="1:5" x14ac:dyDescent="0.25">
      <c r="A99" s="108">
        <v>160</v>
      </c>
      <c r="B99" s="108">
        <v>8</v>
      </c>
      <c r="C99" s="204">
        <v>27</v>
      </c>
      <c r="D99" s="204">
        <v>170</v>
      </c>
      <c r="E99" s="55">
        <f>D99+40</f>
        <v>210</v>
      </c>
    </row>
    <row r="100" spans="1:5" x14ac:dyDescent="0.25">
      <c r="A100" s="108">
        <v>200</v>
      </c>
      <c r="B100" s="108">
        <v>8</v>
      </c>
      <c r="C100" s="204">
        <v>36</v>
      </c>
      <c r="D100" s="204">
        <v>240</v>
      </c>
      <c r="E100" s="55">
        <f>D100+70</f>
        <v>310</v>
      </c>
    </row>
    <row r="101" spans="1:5" x14ac:dyDescent="0.25">
      <c r="A101" s="363">
        <v>125</v>
      </c>
      <c r="B101" s="239"/>
      <c r="C101" s="239"/>
      <c r="D101" s="239"/>
      <c r="E101" s="239"/>
    </row>
    <row r="102" spans="1:5" x14ac:dyDescent="0.25">
      <c r="A102" s="108">
        <v>6</v>
      </c>
      <c r="B102" s="108">
        <v>8</v>
      </c>
      <c r="C102" s="204">
        <v>16</v>
      </c>
      <c r="D102" s="204">
        <v>100</v>
      </c>
      <c r="E102" s="55">
        <f>D102+20</f>
        <v>120</v>
      </c>
    </row>
    <row r="103" spans="1:5" x14ac:dyDescent="0.25">
      <c r="A103" s="55">
        <v>10</v>
      </c>
      <c r="B103" s="108">
        <v>8</v>
      </c>
      <c r="C103" s="204">
        <v>16</v>
      </c>
      <c r="D103" s="204">
        <v>110</v>
      </c>
      <c r="E103" s="55">
        <f>D103+20</f>
        <v>130</v>
      </c>
    </row>
    <row r="104" spans="1:5" x14ac:dyDescent="0.25">
      <c r="A104" s="108">
        <v>16</v>
      </c>
      <c r="B104" s="108">
        <v>8</v>
      </c>
      <c r="C104" s="204">
        <v>16</v>
      </c>
      <c r="D104" s="204">
        <v>110</v>
      </c>
      <c r="E104" s="55">
        <f>D104+20</f>
        <v>130</v>
      </c>
    </row>
    <row r="105" spans="1:5" x14ac:dyDescent="0.25">
      <c r="A105" s="108">
        <v>25</v>
      </c>
      <c r="B105" s="108">
        <v>8</v>
      </c>
      <c r="C105" s="204">
        <v>24</v>
      </c>
      <c r="D105" s="204">
        <v>130</v>
      </c>
      <c r="E105" s="55">
        <f>D105+30</f>
        <v>160</v>
      </c>
    </row>
    <row r="106" spans="1:5" x14ac:dyDescent="0.25">
      <c r="A106" s="108">
        <v>40</v>
      </c>
      <c r="B106" s="108">
        <v>8</v>
      </c>
      <c r="C106" s="204">
        <v>24</v>
      </c>
      <c r="D106" s="204">
        <v>130</v>
      </c>
      <c r="E106" s="55">
        <f>D106+30</f>
        <v>160</v>
      </c>
    </row>
    <row r="107" spans="1:5" x14ac:dyDescent="0.25">
      <c r="A107" s="108">
        <v>63</v>
      </c>
      <c r="B107" s="108">
        <v>8</v>
      </c>
      <c r="C107" s="204">
        <v>27</v>
      </c>
      <c r="D107" s="204">
        <v>150</v>
      </c>
      <c r="E107" s="55">
        <f>D107+40</f>
        <v>190</v>
      </c>
    </row>
    <row r="108" spans="1:5" x14ac:dyDescent="0.25">
      <c r="A108" s="108">
        <v>100</v>
      </c>
      <c r="B108" s="108">
        <v>8</v>
      </c>
      <c r="C108" s="204">
        <v>30</v>
      </c>
      <c r="D108" s="204">
        <v>170</v>
      </c>
      <c r="E108" s="55">
        <f>D108+40</f>
        <v>210</v>
      </c>
    </row>
    <row r="109" spans="1:5" x14ac:dyDescent="0.25">
      <c r="A109" s="108">
        <v>160</v>
      </c>
      <c r="B109" s="108">
        <v>8</v>
      </c>
      <c r="C109" s="204">
        <v>30</v>
      </c>
      <c r="D109" s="204">
        <v>170</v>
      </c>
      <c r="E109" s="55">
        <f>D109+50</f>
        <v>220</v>
      </c>
    </row>
    <row r="110" spans="1:5" x14ac:dyDescent="0.25">
      <c r="A110" s="108">
        <v>200</v>
      </c>
      <c r="B110" s="108">
        <v>12</v>
      </c>
      <c r="C110" s="204">
        <v>36</v>
      </c>
      <c r="D110" s="204">
        <v>250</v>
      </c>
      <c r="E110" s="55">
        <f>D110+80</f>
        <v>330</v>
      </c>
    </row>
    <row r="111" spans="1:5" x14ac:dyDescent="0.25">
      <c r="A111" s="363">
        <v>150</v>
      </c>
      <c r="B111" s="239"/>
      <c r="C111" s="239"/>
      <c r="D111" s="239"/>
      <c r="E111" s="239"/>
    </row>
    <row r="112" spans="1:5" x14ac:dyDescent="0.25">
      <c r="A112" s="108">
        <v>6</v>
      </c>
      <c r="B112" s="55">
        <v>8</v>
      </c>
      <c r="C112" s="204">
        <v>16</v>
      </c>
      <c r="D112" s="204">
        <v>100</v>
      </c>
      <c r="E112" s="55">
        <f>D112+20</f>
        <v>120</v>
      </c>
    </row>
    <row r="113" spans="1:5" x14ac:dyDescent="0.25">
      <c r="A113" s="55">
        <v>10</v>
      </c>
      <c r="B113" s="108">
        <v>8</v>
      </c>
      <c r="C113" s="204">
        <v>20</v>
      </c>
      <c r="D113" s="204">
        <v>110</v>
      </c>
      <c r="E113" s="55">
        <f>D113+20</f>
        <v>130</v>
      </c>
    </row>
    <row r="114" spans="1:5" x14ac:dyDescent="0.25">
      <c r="A114" s="108">
        <v>16</v>
      </c>
      <c r="B114" s="108">
        <v>8</v>
      </c>
      <c r="C114" s="204">
        <v>20</v>
      </c>
      <c r="D114" s="204">
        <v>110</v>
      </c>
      <c r="E114" s="55">
        <f>D114+20</f>
        <v>130</v>
      </c>
    </row>
    <row r="115" spans="1:5" x14ac:dyDescent="0.25">
      <c r="A115" s="108">
        <v>25</v>
      </c>
      <c r="B115" s="108">
        <v>8</v>
      </c>
      <c r="C115" s="204">
        <v>24</v>
      </c>
      <c r="D115" s="204">
        <v>130</v>
      </c>
      <c r="E115" s="55">
        <f>D115+30</f>
        <v>160</v>
      </c>
    </row>
    <row r="116" spans="1:5" x14ac:dyDescent="0.25">
      <c r="A116" s="108">
        <v>40</v>
      </c>
      <c r="B116" s="108">
        <v>8</v>
      </c>
      <c r="C116" s="204">
        <v>24</v>
      </c>
      <c r="D116" s="204">
        <v>130</v>
      </c>
      <c r="E116" s="55">
        <f>D116+30</f>
        <v>160</v>
      </c>
    </row>
    <row r="117" spans="1:5" x14ac:dyDescent="0.25">
      <c r="A117" s="108">
        <v>63</v>
      </c>
      <c r="B117" s="108">
        <v>8</v>
      </c>
      <c r="C117" s="204">
        <v>30</v>
      </c>
      <c r="D117" s="204">
        <v>170</v>
      </c>
      <c r="E117" s="55">
        <f>D117+40</f>
        <v>210</v>
      </c>
    </row>
    <row r="118" spans="1:5" x14ac:dyDescent="0.25">
      <c r="A118" s="108">
        <v>100</v>
      </c>
      <c r="B118" s="108">
        <v>12</v>
      </c>
      <c r="C118" s="204">
        <v>30</v>
      </c>
      <c r="D118" s="204">
        <v>180</v>
      </c>
      <c r="E118" s="55">
        <f>D118+50</f>
        <v>230</v>
      </c>
    </row>
    <row r="119" spans="1:5" x14ac:dyDescent="0.25">
      <c r="A119" s="108">
        <v>160</v>
      </c>
      <c r="B119" s="108">
        <v>12</v>
      </c>
      <c r="C119" s="204">
        <v>30</v>
      </c>
      <c r="D119" s="204">
        <v>180</v>
      </c>
      <c r="E119" s="55">
        <f>D119+50</f>
        <v>230</v>
      </c>
    </row>
    <row r="120" spans="1:5" x14ac:dyDescent="0.25">
      <c r="A120" s="108">
        <v>200</v>
      </c>
      <c r="B120" s="108">
        <v>12</v>
      </c>
      <c r="C120" s="204">
        <v>42</v>
      </c>
      <c r="D120" s="204">
        <v>270</v>
      </c>
      <c r="E120" s="55">
        <f>D120+80</f>
        <v>350</v>
      </c>
    </row>
    <row r="121" spans="1:5" x14ac:dyDescent="0.25">
      <c r="A121" s="363">
        <v>200</v>
      </c>
      <c r="B121" s="239"/>
      <c r="C121" s="239"/>
      <c r="D121" s="239"/>
      <c r="E121" s="239"/>
    </row>
    <row r="122" spans="1:5" x14ac:dyDescent="0.25">
      <c r="A122" s="108">
        <v>6</v>
      </c>
      <c r="B122" s="108">
        <v>8</v>
      </c>
      <c r="C122" s="204">
        <v>16</v>
      </c>
      <c r="D122" s="204">
        <v>100</v>
      </c>
      <c r="E122" s="204">
        <f>D122+20</f>
        <v>120</v>
      </c>
    </row>
    <row r="123" spans="1:5" x14ac:dyDescent="0.25">
      <c r="A123" s="55">
        <v>10</v>
      </c>
      <c r="B123" s="108">
        <v>8</v>
      </c>
      <c r="C123" s="204">
        <v>20</v>
      </c>
      <c r="D123" s="204">
        <v>110</v>
      </c>
      <c r="E123" s="204">
        <f>D123+20</f>
        <v>130</v>
      </c>
    </row>
    <row r="124" spans="1:5" x14ac:dyDescent="0.25">
      <c r="A124" s="108">
        <v>16</v>
      </c>
      <c r="B124" s="108">
        <v>12</v>
      </c>
      <c r="C124" s="204">
        <v>20</v>
      </c>
      <c r="D124" s="204">
        <v>110</v>
      </c>
      <c r="E124" s="204">
        <f>D124+30</f>
        <v>140</v>
      </c>
    </row>
    <row r="125" spans="1:5" x14ac:dyDescent="0.25">
      <c r="A125" s="108">
        <v>25</v>
      </c>
      <c r="B125" s="108">
        <v>12</v>
      </c>
      <c r="C125" s="204">
        <v>24</v>
      </c>
      <c r="D125" s="204">
        <v>150</v>
      </c>
      <c r="E125" s="204">
        <f>D125+30</f>
        <v>180</v>
      </c>
    </row>
    <row r="126" spans="1:5" x14ac:dyDescent="0.25">
      <c r="A126" s="108">
        <v>40</v>
      </c>
      <c r="B126" s="108">
        <v>12</v>
      </c>
      <c r="C126" s="204">
        <v>27</v>
      </c>
      <c r="D126" s="204">
        <v>170</v>
      </c>
      <c r="E126" s="204">
        <f>D126+40</f>
        <v>210</v>
      </c>
    </row>
    <row r="127" spans="1:5" x14ac:dyDescent="0.25">
      <c r="A127" s="108">
        <v>63</v>
      </c>
      <c r="B127" s="108">
        <v>12</v>
      </c>
      <c r="C127" s="204">
        <v>30</v>
      </c>
      <c r="D127" s="204">
        <v>170</v>
      </c>
      <c r="E127" s="204">
        <f>D127+40</f>
        <v>210</v>
      </c>
    </row>
    <row r="128" spans="1:5" x14ac:dyDescent="0.25">
      <c r="A128" s="108">
        <v>100</v>
      </c>
      <c r="B128" s="108">
        <v>12</v>
      </c>
      <c r="C128" s="204">
        <v>36</v>
      </c>
      <c r="D128" s="204">
        <v>220</v>
      </c>
      <c r="E128" s="204">
        <f>D128+40</f>
        <v>260</v>
      </c>
    </row>
    <row r="129" spans="1:11" x14ac:dyDescent="0.25">
      <c r="A129" s="108">
        <v>160</v>
      </c>
      <c r="B129" s="108">
        <v>12</v>
      </c>
      <c r="C129" s="204">
        <v>36</v>
      </c>
      <c r="D129" s="204">
        <v>230</v>
      </c>
      <c r="E129" s="204">
        <f>D129+60</f>
        <v>290</v>
      </c>
    </row>
    <row r="130" spans="1:11" x14ac:dyDescent="0.25">
      <c r="A130" s="108">
        <v>200</v>
      </c>
      <c r="B130" s="108">
        <v>12</v>
      </c>
      <c r="C130" s="204">
        <v>48</v>
      </c>
      <c r="D130" s="204">
        <v>300</v>
      </c>
      <c r="E130" s="204">
        <f>D130+90</f>
        <v>390</v>
      </c>
    </row>
    <row r="131" spans="1:11" x14ac:dyDescent="0.25">
      <c r="A131" s="363">
        <v>250</v>
      </c>
      <c r="B131" s="239"/>
      <c r="C131" s="239"/>
      <c r="D131" s="239"/>
      <c r="E131" s="239"/>
    </row>
    <row r="132" spans="1:11" x14ac:dyDescent="0.25">
      <c r="A132" s="108">
        <v>6</v>
      </c>
      <c r="B132" s="108">
        <v>12</v>
      </c>
      <c r="C132" s="204">
        <v>16</v>
      </c>
      <c r="D132" s="204">
        <v>100</v>
      </c>
      <c r="E132" s="204">
        <f>D132+20</f>
        <v>120</v>
      </c>
    </row>
    <row r="133" spans="1:11" x14ac:dyDescent="0.25">
      <c r="A133" s="55">
        <v>10</v>
      </c>
      <c r="B133" s="108">
        <v>12</v>
      </c>
      <c r="C133" s="204">
        <v>20</v>
      </c>
      <c r="D133" s="204">
        <v>120</v>
      </c>
      <c r="E133" s="204">
        <f>D133+30</f>
        <v>150</v>
      </c>
    </row>
    <row r="134" spans="1:11" x14ac:dyDescent="0.25">
      <c r="A134" s="108">
        <v>16</v>
      </c>
      <c r="B134" s="108">
        <v>12</v>
      </c>
      <c r="C134" s="204">
        <v>24</v>
      </c>
      <c r="D134" s="204">
        <v>120</v>
      </c>
      <c r="E134" s="204">
        <f>D134+30</f>
        <v>150</v>
      </c>
    </row>
    <row r="135" spans="1:11" x14ac:dyDescent="0.25">
      <c r="A135" s="108">
        <v>25</v>
      </c>
      <c r="B135" s="108">
        <v>12</v>
      </c>
      <c r="C135" s="204">
        <v>27</v>
      </c>
      <c r="D135" s="204">
        <v>150</v>
      </c>
      <c r="E135" s="204">
        <f>D135+40</f>
        <v>190</v>
      </c>
    </row>
    <row r="136" spans="1:11" x14ac:dyDescent="0.25">
      <c r="A136" s="108">
        <v>40</v>
      </c>
      <c r="B136" s="108">
        <v>12</v>
      </c>
      <c r="C136" s="204">
        <v>30</v>
      </c>
      <c r="D136" s="204">
        <v>170</v>
      </c>
      <c r="E136" s="204">
        <f>D136+40</f>
        <v>210</v>
      </c>
    </row>
    <row r="137" spans="1:11" x14ac:dyDescent="0.25">
      <c r="A137" s="108">
        <v>63</v>
      </c>
      <c r="B137" s="108">
        <v>12</v>
      </c>
      <c r="C137" s="204">
        <v>36</v>
      </c>
      <c r="D137" s="204">
        <v>200</v>
      </c>
      <c r="E137" s="204">
        <f>D137+40</f>
        <v>240</v>
      </c>
      <c r="K137" s="108"/>
    </row>
    <row r="138" spans="1:11" x14ac:dyDescent="0.25">
      <c r="A138" s="108">
        <v>100</v>
      </c>
      <c r="B138" s="108">
        <v>12</v>
      </c>
      <c r="C138" s="204">
        <v>36</v>
      </c>
      <c r="D138" s="204">
        <v>220</v>
      </c>
      <c r="E138" s="204">
        <f>D138+60</f>
        <v>280</v>
      </c>
      <c r="K138" s="55"/>
    </row>
    <row r="139" spans="1:11" x14ac:dyDescent="0.25">
      <c r="A139" s="108">
        <v>160</v>
      </c>
      <c r="B139" s="108">
        <v>12</v>
      </c>
      <c r="C139" s="204">
        <v>36</v>
      </c>
      <c r="D139" s="204">
        <v>240</v>
      </c>
      <c r="E139" s="204">
        <f>D139+90</f>
        <v>330</v>
      </c>
      <c r="K139" s="108"/>
    </row>
    <row r="140" spans="1:11" x14ac:dyDescent="0.25">
      <c r="A140" s="108">
        <v>200</v>
      </c>
      <c r="B140" s="108">
        <v>16</v>
      </c>
      <c r="C140" s="204">
        <v>52</v>
      </c>
      <c r="D140" s="204">
        <v>360</v>
      </c>
      <c r="E140" s="204">
        <f>D140+110</f>
        <v>470</v>
      </c>
      <c r="K140" s="108"/>
    </row>
    <row r="141" spans="1:11" x14ac:dyDescent="0.25">
      <c r="A141" s="363">
        <v>300</v>
      </c>
      <c r="B141" s="239"/>
      <c r="C141" s="239"/>
      <c r="D141" s="239"/>
      <c r="E141" s="239"/>
      <c r="K141" s="108"/>
    </row>
    <row r="142" spans="1:11" x14ac:dyDescent="0.25">
      <c r="A142" s="108">
        <v>6</v>
      </c>
      <c r="B142" s="108">
        <v>12</v>
      </c>
      <c r="C142" s="204">
        <v>20</v>
      </c>
      <c r="D142" s="204">
        <v>120</v>
      </c>
      <c r="E142" s="55">
        <f>D142+20</f>
        <v>140</v>
      </c>
      <c r="K142" s="108"/>
    </row>
    <row r="143" spans="1:11" x14ac:dyDescent="0.25">
      <c r="A143" s="55">
        <v>10</v>
      </c>
      <c r="B143" s="108">
        <v>12</v>
      </c>
      <c r="C143" s="204">
        <v>20</v>
      </c>
      <c r="D143" s="204">
        <v>120</v>
      </c>
      <c r="E143" s="55">
        <f>D143+20</f>
        <v>140</v>
      </c>
      <c r="K143" s="108"/>
    </row>
    <row r="144" spans="1:11" x14ac:dyDescent="0.25">
      <c r="A144" s="108">
        <v>16</v>
      </c>
      <c r="B144" s="108">
        <v>12</v>
      </c>
      <c r="C144" s="204">
        <v>24</v>
      </c>
      <c r="D144" s="204">
        <v>130</v>
      </c>
      <c r="E144" s="55">
        <f>D144+30</f>
        <v>160</v>
      </c>
      <c r="K144" s="108"/>
    </row>
    <row r="145" spans="1:11" x14ac:dyDescent="0.25">
      <c r="A145" s="108">
        <v>25</v>
      </c>
      <c r="B145" s="108">
        <v>16</v>
      </c>
      <c r="C145" s="204">
        <v>27</v>
      </c>
      <c r="D145" s="204">
        <v>170</v>
      </c>
      <c r="E145" s="55">
        <f>D145+40</f>
        <v>210</v>
      </c>
      <c r="K145" s="108"/>
    </row>
    <row r="146" spans="1:11" x14ac:dyDescent="0.25">
      <c r="A146" s="108">
        <v>40</v>
      </c>
      <c r="B146" s="108">
        <v>16</v>
      </c>
      <c r="C146" s="204">
        <v>30</v>
      </c>
      <c r="D146" s="204">
        <v>180</v>
      </c>
      <c r="E146" s="55">
        <f>D146+50</f>
        <v>230</v>
      </c>
    </row>
    <row r="147" spans="1:11" x14ac:dyDescent="0.25">
      <c r="A147" s="108">
        <v>63</v>
      </c>
      <c r="B147" s="108">
        <v>16</v>
      </c>
      <c r="C147" s="204">
        <v>36</v>
      </c>
      <c r="D147" s="204">
        <v>180</v>
      </c>
      <c r="E147" s="55">
        <f>D147+60</f>
        <v>240</v>
      </c>
    </row>
    <row r="148" spans="1:11" x14ac:dyDescent="0.25">
      <c r="A148" s="108">
        <v>100</v>
      </c>
      <c r="B148" s="108">
        <v>16</v>
      </c>
      <c r="C148" s="204">
        <v>42</v>
      </c>
      <c r="D148" s="204">
        <v>250</v>
      </c>
      <c r="E148" s="55">
        <f>D148+70</f>
        <v>320</v>
      </c>
    </row>
    <row r="149" spans="1:11" x14ac:dyDescent="0.25">
      <c r="A149" s="108">
        <v>160</v>
      </c>
      <c r="B149" s="108">
        <v>16</v>
      </c>
      <c r="C149" s="204">
        <v>42</v>
      </c>
      <c r="D149" s="204">
        <v>270</v>
      </c>
      <c r="E149" s="55">
        <f>D149+80</f>
        <v>350</v>
      </c>
    </row>
    <row r="150" spans="1:11" x14ac:dyDescent="0.25">
      <c r="A150" s="363">
        <v>350</v>
      </c>
      <c r="B150" s="239"/>
      <c r="C150" s="239"/>
      <c r="D150" s="239"/>
      <c r="E150" s="239"/>
    </row>
    <row r="151" spans="1:11" x14ac:dyDescent="0.25">
      <c r="A151" s="108">
        <v>6</v>
      </c>
      <c r="B151" s="206">
        <v>12</v>
      </c>
      <c r="C151" s="204">
        <v>20</v>
      </c>
      <c r="D151" s="204">
        <v>120</v>
      </c>
      <c r="E151">
        <f>D151+20</f>
        <v>140</v>
      </c>
    </row>
    <row r="152" spans="1:11" x14ac:dyDescent="0.25">
      <c r="A152" s="55">
        <v>10</v>
      </c>
      <c r="B152" s="206">
        <v>12</v>
      </c>
      <c r="C152" s="204">
        <v>20</v>
      </c>
      <c r="D152" s="204">
        <v>130</v>
      </c>
      <c r="E152">
        <f>D152+20</f>
        <v>150</v>
      </c>
    </row>
    <row r="153" spans="1:11" x14ac:dyDescent="0.25">
      <c r="A153" s="108">
        <v>16</v>
      </c>
      <c r="B153" s="206">
        <v>16</v>
      </c>
      <c r="C153" s="204">
        <v>24</v>
      </c>
      <c r="D153" s="204">
        <v>150</v>
      </c>
      <c r="E153">
        <f>D153+40</f>
        <v>190</v>
      </c>
    </row>
    <row r="154" spans="1:11" x14ac:dyDescent="0.25">
      <c r="A154" s="108">
        <v>25</v>
      </c>
      <c r="B154" s="206">
        <v>16</v>
      </c>
      <c r="C154" s="204">
        <v>30</v>
      </c>
      <c r="D154" s="204">
        <v>170</v>
      </c>
      <c r="E154">
        <f>D154+40</f>
        <v>210</v>
      </c>
    </row>
    <row r="155" spans="1:11" x14ac:dyDescent="0.25">
      <c r="A155" s="108">
        <v>40</v>
      </c>
      <c r="B155" s="206">
        <v>16</v>
      </c>
      <c r="C155" s="204">
        <v>30</v>
      </c>
      <c r="D155" s="204">
        <v>200</v>
      </c>
      <c r="E155">
        <f>D155+60</f>
        <v>260</v>
      </c>
    </row>
    <row r="156" spans="1:11" x14ac:dyDescent="0.25">
      <c r="A156" s="108">
        <v>63</v>
      </c>
      <c r="B156" s="206">
        <v>16</v>
      </c>
      <c r="C156" s="204">
        <v>36</v>
      </c>
      <c r="D156" s="204">
        <v>230</v>
      </c>
      <c r="E156">
        <f>D156+60</f>
        <v>290</v>
      </c>
    </row>
    <row r="157" spans="1:11" x14ac:dyDescent="0.25">
      <c r="A157" s="108">
        <v>100</v>
      </c>
      <c r="B157" s="206">
        <v>16</v>
      </c>
      <c r="C157" s="204">
        <v>48</v>
      </c>
      <c r="D157" s="204">
        <v>280</v>
      </c>
      <c r="E157">
        <f>D157+80</f>
        <v>360</v>
      </c>
    </row>
  </sheetData>
  <mergeCells count="63">
    <mergeCell ref="R70:T70"/>
    <mergeCell ref="A131:E131"/>
    <mergeCell ref="A141:E141"/>
    <mergeCell ref="A150:E150"/>
    <mergeCell ref="A61:C61"/>
    <mergeCell ref="M59:M61"/>
    <mergeCell ref="N62:P62"/>
    <mergeCell ref="R62:S62"/>
    <mergeCell ref="G31:G32"/>
    <mergeCell ref="C31:D31"/>
    <mergeCell ref="E31:F31"/>
    <mergeCell ref="A121:E121"/>
    <mergeCell ref="A71:E71"/>
    <mergeCell ref="A81:E81"/>
    <mergeCell ref="A91:E91"/>
    <mergeCell ref="A101:E101"/>
    <mergeCell ref="A111:E111"/>
    <mergeCell ref="W3:Y3"/>
    <mergeCell ref="W8:Y8"/>
    <mergeCell ref="N41:Q41"/>
    <mergeCell ref="N44:Q44"/>
    <mergeCell ref="I32:K32"/>
    <mergeCell ref="I31:K31"/>
    <mergeCell ref="I30:K30"/>
    <mergeCell ref="Q3:T3"/>
    <mergeCell ref="U3:V3"/>
    <mergeCell ref="M10:O10"/>
    <mergeCell ref="Q9:R9"/>
    <mergeCell ref="S9:T9"/>
    <mergeCell ref="N3:O3"/>
    <mergeCell ref="W12:Y12"/>
    <mergeCell ref="I28:K28"/>
    <mergeCell ref="I29:K29"/>
    <mergeCell ref="N21:Q21"/>
    <mergeCell ref="N25:Q25"/>
    <mergeCell ref="O13:U13"/>
    <mergeCell ref="O15:U15"/>
    <mergeCell ref="J16:K16"/>
    <mergeCell ref="N18:P18"/>
    <mergeCell ref="O14:P14"/>
    <mergeCell ref="H31:H32"/>
    <mergeCell ref="N39:Q39"/>
    <mergeCell ref="N38:Q38"/>
    <mergeCell ref="I33:K33"/>
    <mergeCell ref="N68:P70"/>
    <mergeCell ref="N64:P64"/>
    <mergeCell ref="M65:M67"/>
    <mergeCell ref="N65:P65"/>
    <mergeCell ref="N66:P66"/>
    <mergeCell ref="N67:P67"/>
    <mergeCell ref="M62:M64"/>
    <mergeCell ref="N29:Q29"/>
    <mergeCell ref="S32:S35"/>
    <mergeCell ref="S36:S39"/>
    <mergeCell ref="N40:Q40"/>
    <mergeCell ref="N43:Q43"/>
    <mergeCell ref="N42:Q42"/>
    <mergeCell ref="S40:S43"/>
    <mergeCell ref="S44:S47"/>
    <mergeCell ref="N45:Q45"/>
    <mergeCell ref="N54:P54"/>
    <mergeCell ref="R56:T56"/>
    <mergeCell ref="N63:P6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68</vt:i4>
      </vt:variant>
    </vt:vector>
  </HeadingPairs>
  <TitlesOfParts>
    <vt:vector size="71" baseType="lpstr">
      <vt:lpstr>Диалог</vt:lpstr>
      <vt:lpstr>Секция</vt:lpstr>
      <vt:lpstr>control</vt:lpstr>
      <vt:lpstr>al_tube</vt:lpstr>
      <vt:lpstr>box_back</vt:lpstr>
      <vt:lpstr>box_back_1</vt:lpstr>
      <vt:lpstr>box_back_2</vt:lpstr>
      <vt:lpstr>box_back_3</vt:lpstr>
      <vt:lpstr>box_back_dp</vt:lpstr>
      <vt:lpstr>box_back_dp_1</vt:lpstr>
      <vt:lpstr>box_back_dp_2</vt:lpstr>
      <vt:lpstr>box_back_dp_3</vt:lpstr>
      <vt:lpstr>box_front</vt:lpstr>
      <vt:lpstr>box_front_1</vt:lpstr>
      <vt:lpstr>box_front_2</vt:lpstr>
      <vt:lpstr>box_front_3</vt:lpstr>
      <vt:lpstr>box_front_dp</vt:lpstr>
      <vt:lpstr>box_front_dp_1</vt:lpstr>
      <vt:lpstr>box_front_dp_2</vt:lpstr>
      <vt:lpstr>box_front_dp_3</vt:lpstr>
      <vt:lpstr>box_opt_dp_1</vt:lpstr>
      <vt:lpstr>box_opt_dp_2</vt:lpstr>
      <vt:lpstr>box_prob_dp_1</vt:lpstr>
      <vt:lpstr>box_prob_dp_2</vt:lpstr>
      <vt:lpstr>box_prob_dp_3</vt:lpstr>
      <vt:lpstr>box_prob_dp_4</vt:lpstr>
      <vt:lpstr>collector</vt:lpstr>
      <vt:lpstr>collector_dop_a</vt:lpstr>
      <vt:lpstr>collector_dp</vt:lpstr>
      <vt:lpstr>collector_prob_dp</vt:lpstr>
      <vt:lpstr>date</vt:lpstr>
      <vt:lpstr>fin</vt:lpstr>
      <vt:lpstr>fl_2</vt:lpstr>
      <vt:lpstr>fl_3</vt:lpstr>
      <vt:lpstr>fl_4</vt:lpstr>
      <vt:lpstr>fl_5</vt:lpstr>
      <vt:lpstr>fl_6</vt:lpstr>
      <vt:lpstr>fl_7</vt:lpstr>
      <vt:lpstr>fl_dp_1</vt:lpstr>
      <vt:lpstr>fl_dp_2</vt:lpstr>
      <vt:lpstr>fl_dp_3</vt:lpstr>
      <vt:lpstr>fl_dp_4</vt:lpstr>
      <vt:lpstr>fl_dp_5</vt:lpstr>
      <vt:lpstr>fl_dp_6</vt:lpstr>
      <vt:lpstr>fl_dp_prob_1</vt:lpstr>
      <vt:lpstr>fl_dp_prob_2</vt:lpstr>
      <vt:lpstr>fl_m_100</vt:lpstr>
      <vt:lpstr>fl_m_125</vt:lpstr>
      <vt:lpstr>fl_m_150</vt:lpstr>
      <vt:lpstr>fl_m_200</vt:lpstr>
      <vt:lpstr>fl_m_25</vt:lpstr>
      <vt:lpstr>fl_m_250</vt:lpstr>
      <vt:lpstr>fl_m_300</vt:lpstr>
      <vt:lpstr>fl_m_350</vt:lpstr>
      <vt:lpstr>fl_m_50</vt:lpstr>
      <vt:lpstr>fl_m_80</vt:lpstr>
      <vt:lpstr>kalach</vt:lpstr>
      <vt:lpstr>mat</vt:lpstr>
      <vt:lpstr>mat_2</vt:lpstr>
      <vt:lpstr>metiz_mat</vt:lpstr>
      <vt:lpstr>patrubok</vt:lpstr>
      <vt:lpstr>tube_type_a</vt:lpstr>
      <vt:lpstr>tube_type_b</vt:lpstr>
      <vt:lpstr>zip_metiz_a</vt:lpstr>
      <vt:lpstr>zip_metiz_b</vt:lpstr>
      <vt:lpstr>zip_pr_fl_a</vt:lpstr>
      <vt:lpstr>zip_pr_fl_b</vt:lpstr>
      <vt:lpstr>zip_pr_probki_a</vt:lpstr>
      <vt:lpstr>zip_pr_probki_b</vt:lpstr>
      <vt:lpstr>zip_probki_a</vt:lpstr>
      <vt:lpstr>zip_probki_b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Богачевский Андрей Юрьевич</dc:creator>
  <cp:lastModifiedBy>Богачевский Андрей Юрьевич</cp:lastModifiedBy>
  <cp:lastPrinted>2018-10-11T10:40:29Z</cp:lastPrinted>
  <dcterms:created xsi:type="dcterms:W3CDTF">2018-09-05T13:41:30Z</dcterms:created>
  <dcterms:modified xsi:type="dcterms:W3CDTF">2018-10-12T14:26:50Z</dcterms:modified>
</cp:coreProperties>
</file>